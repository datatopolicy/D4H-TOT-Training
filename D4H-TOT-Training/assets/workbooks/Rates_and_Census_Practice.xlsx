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ent Counts 2027" sheetId="1" state="visible" r:id="rId3"/>
    <sheet name="Census Population" sheetId="2" state="visible" r:id="rId4"/>
    <sheet name="Rate Calculation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<sst xmlns="http://schemas.openxmlformats.org/spreadsheetml/2006/main" count="53" uniqueCount="35">
  <si>
    <t xml:space="preserve">District</t>
  </si>
  <si>
    <t xml:space="preserve">Reported Deaths (2027)</t>
  </si>
  <si>
    <t xml:space="preserve">Central</t>
  </si>
  <si>
    <t xml:space="preserve">Northgate</t>
  </si>
  <si>
    <t xml:space="preserve">Riverside</t>
  </si>
  <si>
    <t xml:space="preserve">Highland</t>
  </si>
  <si>
    <t xml:space="preserve">Eastfield</t>
  </si>
  <si>
    <t xml:space="preserve">Westbrook</t>
  </si>
  <si>
    <t xml:space="preserve">Lakeview</t>
  </si>
  <si>
    <t xml:space="preserve">Southport</t>
  </si>
  <si>
    <t xml:space="preserve">Census Population (2020)</t>
  </si>
  <si>
    <t xml:space="preserve">Annual Growth Rate</t>
  </si>
  <si>
    <t xml:space="preserve">Note: blue values are inputs from the national census bureau (Source: simulated for training purposes).</t>
  </si>
  <si>
    <t xml:space="preserve">Crude Death Rate Calculation, 2027 (per 1,000 population)</t>
  </si>
  <si>
    <t xml:space="preserve">Census year: 2020   |   Analysis year: 2027   |   Years elapsed: 7</t>
  </si>
  <si>
    <t xml:space="preserve">2027 Deaths</t>
  </si>
  <si>
    <t xml:space="preserve">2020 Census Pop.</t>
  </si>
  <si>
    <t xml:space="preserve">Growth Rate</t>
  </si>
  <si>
    <t xml:space="preserve">Est. 2027 Population</t>
  </si>
  <si>
    <t xml:space="preserve">Crude Death Rate (per 1,000)</t>
  </si>
  <si>
    <t xml:space="preserve">Crude Death Rate (per 100,000)</t>
  </si>
  <si>
    <t xml:space="preserve">Rank (by rate)</t>
  </si>
  <si>
    <t xml:space="preserve">Formula reference:</t>
  </si>
  <si>
    <t xml:space="preserve">Est. Population = Census Pop x (1 + Growth Rate) ^ (Analysis Year - Census Year)</t>
  </si>
  <si>
    <t xml:space="preserve">Rate = (Events / Estimated Population) x Multiplier</t>
  </si>
  <si>
    <t xml:space="preserve">Rates &amp; Census Linkage Practice Workbook — Instructions</t>
  </si>
  <si>
    <t xml:space="preserve">Purpose: practice accessing and using census data to calculate rates in Excel (Tuesday session).</t>
  </si>
  <si>
    <t xml:space="preserve">'Event Counts 2027' — simulated reported deaths by district for the analysis year.</t>
  </si>
  <si>
    <t xml:space="preserve">'Census Population' — simulated 2020 census population and annual growth rate by district (blue = input values).</t>
  </si>
  <si>
    <t xml:space="preserve">'Rate Calculation' — INDEX/MATCH joins the two tables by district name, applies the inter-censal growth formula to estimate the 2027 population, then calculates the crude death rate per 1,000 and per 100,000.</t>
  </si>
  <si>
    <t xml:space="preserve">Exercise steps:</t>
  </si>
  <si>
    <t xml:space="preserve">  1. Compare the district ranking by raw death count (Event Counts sheet) to the ranking by rate (column H in Rate Calculation). Identify a district whose rank changes and explain why.</t>
  </si>
  <si>
    <t xml:space="preserve">  2. Try changing a district's growth rate in 'Census Population' and observe how the estimated population and resulting rate update automatically.</t>
  </si>
  <si>
    <t xml:space="preserve">  3. Confirm every INDEX/MATCH lookup uses the exact-match argument (the final 0 in MATCH) - remove it on one row deliberately to see how the result can silently become wrong.</t>
  </si>
  <si>
    <t xml:space="preserve">  4. Discuss: which multiplier (per 1,000 vs. per 100,000) would you choose for a rarer event such as maternal deaths, and why?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</si>
</sst>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0.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3"/>
      <color rgb="FF1B3157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1B3157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157"/>
        <bgColor rgb="FF333333"/>
      </patternFill>
    </fill>
    <fill>
      <patternFill patternType="solid">
        <fgColor rgb="FF0E7C86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157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2" t="n">
        <v>180</v>
      </c>
    </row>
    <row r="3" customFormat="false" ht="15" hidden="false" customHeight="false" outlineLevel="0" collapsed="false">
      <c r="A3" s="2" t="s">
        <v>3</v>
      </c>
      <c r="B3" s="2" t="n">
        <v>42</v>
      </c>
    </row>
    <row r="4" customFormat="false" ht="15" hidden="false" customHeight="false" outlineLevel="0" collapsed="false">
      <c r="A4" s="2" t="s">
        <v>4</v>
      </c>
      <c r="B4" s="2" t="n">
        <v>95</v>
      </c>
    </row>
    <row r="5" customFormat="false" ht="15" hidden="false" customHeight="false" outlineLevel="0" collapsed="false">
      <c r="A5" s="2" t="s">
        <v>5</v>
      </c>
      <c r="B5" s="2" t="n">
        <v>38</v>
      </c>
    </row>
    <row r="6" customFormat="false" ht="15" hidden="false" customHeight="false" outlineLevel="0" collapsed="false">
      <c r="A6" s="2" t="s">
        <v>6</v>
      </c>
      <c r="B6" s="2" t="n">
        <v>70</v>
      </c>
    </row>
    <row r="7" customFormat="false" ht="15" hidden="false" customHeight="false" outlineLevel="0" collapsed="false">
      <c r="A7" s="2" t="s">
        <v>7</v>
      </c>
      <c r="B7" s="2" t="n">
        <v>55</v>
      </c>
    </row>
    <row r="8" customFormat="false" ht="15" hidden="false" customHeight="false" outlineLevel="0" collapsed="false">
      <c r="A8" s="2" t="s">
        <v>8</v>
      </c>
      <c r="B8" s="2" t="n">
        <v>30</v>
      </c>
    </row>
    <row r="9" customFormat="false" ht="15" hidden="false" customHeight="false" outlineLevel="0" collapsed="false">
      <c r="A9" s="2" t="s">
        <v>9</v>
      </c>
      <c r="B9" s="2" t="n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1" t="s">
        <v>0</v>
      </c>
      <c r="B1" s="1" t="s">
        <v>10</v>
      </c>
      <c r="C1" s="1" t="s">
        <v>11</v>
      </c>
    </row>
    <row r="2" customFormat="false" ht="15" hidden="false" customHeight="false" outlineLevel="0" collapsed="false">
      <c r="A2" s="2" t="s">
        <v>2</v>
      </c>
      <c r="B2" s="3" t="n">
        <v>420000</v>
      </c>
      <c r="C2" s="4" t="n">
        <v>0.025</v>
      </c>
    </row>
    <row r="3" customFormat="false" ht="15" hidden="false" customHeight="false" outlineLevel="0" collapsed="false">
      <c r="A3" s="2" t="s">
        <v>3</v>
      </c>
      <c r="B3" s="3" t="n">
        <v>95000</v>
      </c>
      <c r="C3" s="4" t="n">
        <v>0.031</v>
      </c>
    </row>
    <row r="4" customFormat="false" ht="15" hidden="false" customHeight="false" outlineLevel="0" collapsed="false">
      <c r="A4" s="2" t="s">
        <v>4</v>
      </c>
      <c r="B4" s="3" t="n">
        <v>210000</v>
      </c>
      <c r="C4" s="4" t="n">
        <v>0.022</v>
      </c>
    </row>
    <row r="5" customFormat="false" ht="15" hidden="false" customHeight="false" outlineLevel="0" collapsed="false">
      <c r="A5" s="2" t="s">
        <v>5</v>
      </c>
      <c r="B5" s="3" t="n">
        <v>88000</v>
      </c>
      <c r="C5" s="4" t="n">
        <v>0.028</v>
      </c>
    </row>
    <row r="6" customFormat="false" ht="15" hidden="false" customHeight="false" outlineLevel="0" collapsed="false">
      <c r="A6" s="2" t="s">
        <v>6</v>
      </c>
      <c r="B6" s="3" t="n">
        <v>165000</v>
      </c>
      <c r="C6" s="4" t="n">
        <v>0.019</v>
      </c>
    </row>
    <row r="7" customFormat="false" ht="15" hidden="false" customHeight="false" outlineLevel="0" collapsed="false">
      <c r="A7" s="2" t="s">
        <v>7</v>
      </c>
      <c r="B7" s="3" t="n">
        <v>130000</v>
      </c>
      <c r="C7" s="4" t="n">
        <v>0.024</v>
      </c>
    </row>
    <row r="8" customFormat="false" ht="15" hidden="false" customHeight="false" outlineLevel="0" collapsed="false">
      <c r="A8" s="2" t="s">
        <v>8</v>
      </c>
      <c r="B8" s="3" t="n">
        <v>70000</v>
      </c>
      <c r="C8" s="4" t="n">
        <v>0.033</v>
      </c>
    </row>
    <row r="9" customFormat="false" ht="15" hidden="false" customHeight="false" outlineLevel="0" collapsed="false">
      <c r="A9" s="2" t="s">
        <v>9</v>
      </c>
      <c r="B9" s="3" t="n">
        <v>205000</v>
      </c>
      <c r="C9" s="4" t="n">
        <v>0.021</v>
      </c>
    </row>
    <row r="11" customFormat="false" ht="15" hidden="false" customHeight="false" outlineLevel="0" collapsed="false">
      <c r="A11" s="5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20"/>
    <col collapsed="false" customWidth="true" hidden="false" outlineLevel="0" max="7" min="7" style="0" width="22"/>
    <col collapsed="false" customWidth="true" hidden="false" outlineLevel="0" max="8" min="8" style="0" width="14"/>
  </cols>
  <sheetData>
    <row r="1" customFormat="false" ht="16.15" hidden="false" customHeight="false" outlineLevel="0" collapsed="false">
      <c r="A1" s="6" t="s">
        <v>13</v>
      </c>
    </row>
    <row r="2" customFormat="false" ht="15" hidden="false" customHeight="false" outlineLevel="0" collapsed="false">
      <c r="A2" s="5" t="s">
        <v>14</v>
      </c>
    </row>
    <row r="4" customFormat="false" ht="15" hidden="false" customHeight="false" outlineLevel="0" collapsed="false">
      <c r="A4" s="7" t="s">
        <v>0</v>
      </c>
      <c r="B4" s="7" t="s">
        <v>15</v>
      </c>
      <c r="C4" s="7" t="s">
        <v>16</v>
      </c>
      <c r="D4" s="7" t="s">
        <v>17</v>
      </c>
      <c r="E4" s="7" t="s">
        <v>18</v>
      </c>
      <c r="F4" s="7" t="s">
        <v>19</v>
      </c>
      <c r="G4" s="7" t="s">
        <v>20</v>
      </c>
      <c r="H4" s="7" t="s">
        <v>21</v>
      </c>
    </row>
    <row r="5" customFormat="false" ht="15" hidden="false" customHeight="false" outlineLevel="0" collapsed="false">
      <c r="A5" s="2" t="s">
        <v>2</v>
      </c>
      <c r="B5" s="2" t="n">
        <f aca="false">INDEX('Event Counts 2027'!$B$2:$B$9,MATCH(A5,'Event Counts 2027'!$A$2:$A$9,0))</f>
        <v>180</v>
      </c>
      <c r="C5" s="2" t="n">
        <f aca="false">INDEX('Census Population'!$B$2:$B$9,MATCH(A5,'Census Population'!$A$2:$A$9,0))</f>
        <v>420000</v>
      </c>
      <c r="D5" s="8" t="n">
        <f aca="false">INDEX('Census Population'!$C$2:$C$9,MATCH(A5,'Census Population'!$A$2:$A$9,0))</f>
        <v>0.025</v>
      </c>
      <c r="E5" s="9" t="n">
        <f aca="false">C5*(1+D5)^7</f>
        <v>499248.016540649</v>
      </c>
      <c r="F5" s="10" t="n">
        <f aca="false">(B5/E5)*1000</f>
        <v>0.36054224360718</v>
      </c>
      <c r="G5" s="10" t="n">
        <f aca="false">(B5/E5)*100000</f>
        <v>36.054224360718</v>
      </c>
      <c r="H5" s="2" t="n">
        <f aca="false">RANK(F5,$F$5:$F$12,0)</f>
        <v>4</v>
      </c>
    </row>
    <row r="6" customFormat="false" ht="15" hidden="false" customHeight="false" outlineLevel="0" collapsed="false">
      <c r="A6" s="2" t="s">
        <v>3</v>
      </c>
      <c r="B6" s="2" t="n">
        <f aca="false">INDEX('Event Counts 2027'!$B$2:$B$9,MATCH(A6,'Event Counts 2027'!$A$2:$A$9,0))</f>
        <v>42</v>
      </c>
      <c r="C6" s="2" t="n">
        <f aca="false">INDEX('Census Population'!$B$2:$B$9,MATCH(A6,'Census Population'!$A$2:$A$9,0))</f>
        <v>95000</v>
      </c>
      <c r="D6" s="8" t="n">
        <f aca="false">INDEX('Census Population'!$C$2:$C$9,MATCH(A6,'Census Population'!$A$2:$A$9,0))</f>
        <v>0.031</v>
      </c>
      <c r="E6" s="9" t="n">
        <f aca="false">C6*(1+D6)^7</f>
        <v>117634.378490285</v>
      </c>
      <c r="F6" s="10" t="n">
        <f aca="false">(B6/E6)*1000</f>
        <v>0.357038482618996</v>
      </c>
      <c r="G6" s="10" t="n">
        <f aca="false">(B6/E6)*100000</f>
        <v>35.7038482618996</v>
      </c>
      <c r="H6" s="2" t="n">
        <f aca="false">RANK(F6,$F$5:$F$12,0)</f>
        <v>6</v>
      </c>
    </row>
    <row r="7" customFormat="false" ht="15" hidden="false" customHeight="false" outlineLevel="0" collapsed="false">
      <c r="A7" s="2" t="s">
        <v>4</v>
      </c>
      <c r="B7" s="2" t="n">
        <f aca="false">INDEX('Event Counts 2027'!$B$2:$B$9,MATCH(A7,'Event Counts 2027'!$A$2:$A$9,0))</f>
        <v>95</v>
      </c>
      <c r="C7" s="2" t="n">
        <f aca="false">INDEX('Census Population'!$B$2:$B$9,MATCH(A7,'Census Population'!$A$2:$A$9,0))</f>
        <v>210000</v>
      </c>
      <c r="D7" s="8" t="n">
        <f aca="false">INDEX('Census Population'!$C$2:$C$9,MATCH(A7,'Census Population'!$A$2:$A$9,0))</f>
        <v>0.022</v>
      </c>
      <c r="E7" s="9" t="n">
        <f aca="false">C7*(1+D7)^7</f>
        <v>244554.447476309</v>
      </c>
      <c r="F7" s="10" t="n">
        <f aca="false">(B7/E7)*1000</f>
        <v>0.388461551120238</v>
      </c>
      <c r="G7" s="10" t="n">
        <f aca="false">(B7/E7)*100000</f>
        <v>38.8461551120238</v>
      </c>
      <c r="H7" s="2" t="n">
        <f aca="false">RANK(F7,$F$5:$F$12,0)</f>
        <v>1</v>
      </c>
    </row>
    <row r="8" customFormat="false" ht="15" hidden="false" customHeight="false" outlineLevel="0" collapsed="false">
      <c r="A8" s="2" t="s">
        <v>5</v>
      </c>
      <c r="B8" s="2" t="n">
        <f aca="false">INDEX('Event Counts 2027'!$B$2:$B$9,MATCH(A8,'Event Counts 2027'!$A$2:$A$9,0))</f>
        <v>38</v>
      </c>
      <c r="C8" s="2" t="n">
        <f aca="false">INDEX('Census Population'!$B$2:$B$9,MATCH(A8,'Census Population'!$A$2:$A$9,0))</f>
        <v>88000</v>
      </c>
      <c r="D8" s="8" t="n">
        <f aca="false">INDEX('Census Population'!$C$2:$C$9,MATCH(A8,'Census Population'!$A$2:$A$9,0))</f>
        <v>0.028</v>
      </c>
      <c r="E8" s="9" t="n">
        <f aca="false">C8*(1+D8)^7</f>
        <v>106766.369403272</v>
      </c>
      <c r="F8" s="10" t="n">
        <f aca="false">(B8/E8)*1000</f>
        <v>0.355917319399225</v>
      </c>
      <c r="G8" s="10" t="n">
        <f aca="false">(B8/E8)*100000</f>
        <v>35.5917319399225</v>
      </c>
      <c r="H8" s="2" t="n">
        <f aca="false">RANK(F8,$F$5:$F$12,0)</f>
        <v>7</v>
      </c>
    </row>
    <row r="9" customFormat="false" ht="15" hidden="false" customHeight="false" outlineLevel="0" collapsed="false">
      <c r="A9" s="2" t="s">
        <v>6</v>
      </c>
      <c r="B9" s="2" t="n">
        <f aca="false">INDEX('Event Counts 2027'!$B$2:$B$9,MATCH(A9,'Event Counts 2027'!$A$2:$A$9,0))</f>
        <v>70</v>
      </c>
      <c r="C9" s="2" t="n">
        <f aca="false">INDEX('Census Population'!$B$2:$B$9,MATCH(A9,'Census Population'!$A$2:$A$9,0))</f>
        <v>165000</v>
      </c>
      <c r="D9" s="8" t="n">
        <f aca="false">INDEX('Census Population'!$C$2:$C$9,MATCH(A9,'Census Population'!$A$2:$A$9,0))</f>
        <v>0.019</v>
      </c>
      <c r="E9" s="9" t="n">
        <f aca="false">C9*(1+D9)^7</f>
        <v>188236.236962943</v>
      </c>
      <c r="F9" s="10" t="n">
        <f aca="false">(B9/E9)*1000</f>
        <v>0.371873137337421</v>
      </c>
      <c r="G9" s="10" t="n">
        <f aca="false">(B9/E9)*100000</f>
        <v>37.1873137337421</v>
      </c>
      <c r="H9" s="2" t="n">
        <f aca="false">RANK(F9,$F$5:$F$12,0)</f>
        <v>2</v>
      </c>
    </row>
    <row r="10" customFormat="false" ht="15" hidden="false" customHeight="false" outlineLevel="0" collapsed="false">
      <c r="A10" s="2" t="s">
        <v>7</v>
      </c>
      <c r="B10" s="2" t="n">
        <f aca="false">INDEX('Event Counts 2027'!$B$2:$B$9,MATCH(A10,'Event Counts 2027'!$A$2:$A$9,0))</f>
        <v>55</v>
      </c>
      <c r="C10" s="2" t="n">
        <f aca="false">INDEX('Census Population'!$B$2:$B$9,MATCH(A10,'Census Population'!$A$2:$A$9,0))</f>
        <v>130000</v>
      </c>
      <c r="D10" s="8" t="n">
        <f aca="false">INDEX('Census Population'!$C$2:$C$9,MATCH(A10,'Census Population'!$A$2:$A$9,0))</f>
        <v>0.024</v>
      </c>
      <c r="E10" s="9" t="n">
        <f aca="false">C10*(1+D10)^7</f>
        <v>153476.910693264</v>
      </c>
      <c r="F10" s="10" t="n">
        <f aca="false">(B10/E10)*1000</f>
        <v>0.358360093069127</v>
      </c>
      <c r="G10" s="10" t="n">
        <f aca="false">(B10/E10)*100000</f>
        <v>35.8360093069127</v>
      </c>
      <c r="H10" s="2" t="n">
        <f aca="false">RANK(F10,$F$5:$F$12,0)</f>
        <v>5</v>
      </c>
    </row>
    <row r="11" customFormat="false" ht="15" hidden="false" customHeight="false" outlineLevel="0" collapsed="false">
      <c r="A11" s="2" t="s">
        <v>8</v>
      </c>
      <c r="B11" s="2" t="n">
        <f aca="false">INDEX('Event Counts 2027'!$B$2:$B$9,MATCH(A11,'Event Counts 2027'!$A$2:$A$9,0))</f>
        <v>30</v>
      </c>
      <c r="C11" s="2" t="n">
        <f aca="false">INDEX('Census Population'!$B$2:$B$9,MATCH(A11,'Census Population'!$A$2:$A$9,0))</f>
        <v>70000</v>
      </c>
      <c r="D11" s="8" t="n">
        <f aca="false">INDEX('Census Population'!$C$2:$C$9,MATCH(A11,'Census Population'!$A$2:$A$9,0))</f>
        <v>0.033</v>
      </c>
      <c r="E11" s="9" t="n">
        <f aca="false">C11*(1+D11)^7</f>
        <v>87861.8393212803</v>
      </c>
      <c r="F11" s="10" t="n">
        <f aca="false">(B11/E11)*1000</f>
        <v>0.341445162447606</v>
      </c>
      <c r="G11" s="10" t="n">
        <f aca="false">(B11/E11)*100000</f>
        <v>34.1445162447606</v>
      </c>
      <c r="H11" s="2" t="n">
        <f aca="false">RANK(F11,$F$5:$F$12,0)</f>
        <v>8</v>
      </c>
    </row>
    <row r="12" customFormat="false" ht="15" hidden="false" customHeight="false" outlineLevel="0" collapsed="false">
      <c r="A12" s="2" t="s">
        <v>9</v>
      </c>
      <c r="B12" s="2" t="n">
        <f aca="false">INDEX('Event Counts 2027'!$B$2:$B$9,MATCH(A12,'Event Counts 2027'!$A$2:$A$9,0))</f>
        <v>88</v>
      </c>
      <c r="C12" s="2" t="n">
        <f aca="false">INDEX('Census Population'!$B$2:$B$9,MATCH(A12,'Census Population'!$A$2:$A$9,0))</f>
        <v>205000</v>
      </c>
      <c r="D12" s="8" t="n">
        <f aca="false">INDEX('Census Population'!$C$2:$C$9,MATCH(A12,'Census Population'!$A$2:$A$9,0))</f>
        <v>0.021</v>
      </c>
      <c r="E12" s="9" t="n">
        <f aca="false">C12*(1+D12)^7</f>
        <v>237101.365781673</v>
      </c>
      <c r="F12" s="10" t="n">
        <f aca="false">(B12/E12)*1000</f>
        <v>0.371149274952013</v>
      </c>
      <c r="G12" s="10" t="n">
        <f aca="false">(B12/E12)*100000</f>
        <v>37.1149274952013</v>
      </c>
      <c r="H12" s="2" t="n">
        <f aca="false">RANK(F12,$F$5:$F$12,0)</f>
        <v>3</v>
      </c>
    </row>
    <row r="14" customFormat="false" ht="15" hidden="false" customHeight="false" outlineLevel="0" collapsed="false">
      <c r="A14" s="11" t="s">
        <v>22</v>
      </c>
    </row>
    <row r="15" customFormat="false" ht="15" hidden="false" customHeight="false" outlineLevel="0" collapsed="false">
      <c r="A15" s="12" t="s">
        <v>23</v>
      </c>
    </row>
    <row r="16" customFormat="false" ht="15" hidden="false" customHeight="false" outlineLevel="0" collapsed="false">
      <c r="A16" s="1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3" t="s">
        <v>25</v>
      </c>
    </row>
    <row r="3" customFormat="false" ht="15" hidden="false" customHeight="false" outlineLevel="0" collapsed="false">
      <c r="A3" s="14" t="s">
        <v>26</v>
      </c>
    </row>
    <row r="4" customFormat="false" ht="15" hidden="false" customHeight="false" outlineLevel="0" collapsed="false">
      <c r="A4" s="14"/>
    </row>
    <row r="5" customFormat="false" ht="15" hidden="false" customHeight="false" outlineLevel="0" collapsed="false">
      <c r="A5" s="14" t="s">
        <v>27</v>
      </c>
    </row>
    <row r="6" customFormat="false" ht="15" hidden="false" customHeight="false" outlineLevel="0" collapsed="false">
      <c r="A6" s="14" t="s">
        <v>28</v>
      </c>
    </row>
    <row r="7" customFormat="false" ht="15" hidden="false" customHeight="false" outlineLevel="0" collapsed="false">
      <c r="A7" s="14" t="s">
        <v>29</v>
      </c>
    </row>
    <row r="8" customFormat="false" ht="15" hidden="false" customHeight="false" outlineLevel="0" collapsed="false">
      <c r="A8" s="14"/>
    </row>
    <row r="9" customFormat="false" ht="15" hidden="false" customHeight="false" outlineLevel="0" collapsed="false">
      <c r="A9" s="14" t="s">
        <v>30</v>
      </c>
    </row>
    <row r="10" customFormat="false" ht="15" hidden="false" customHeight="false" outlineLevel="0" collapsed="false">
      <c r="A10" s="14" t="s">
        <v>31</v>
      </c>
    </row>
    <row r="11" customFormat="false" ht="15" hidden="false" customHeight="false" outlineLevel="0" collapsed="false">
      <c r="A11" s="14" t="s">
        <v>32</v>
      </c>
    </row>
    <row r="12" customFormat="false" ht="15" hidden="false" customHeight="false" outlineLevel="0" collapsed="false">
      <c r="A12" s="14" t="s">
        <v>33</v>
      </c>
    </row>
    <row r="13" customFormat="false" ht="15" hidden="false" customHeight="false" outlineLevel="0" collapsed="false">
      <c r="A13" s="14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2026-09-18T01:59:43Z</dcterms:created>
  <dc:creator>openpyxl</dc:creator>
  <dc:description/>
  <dc:language>en-US</dc:language>
  <cp:lastModifiedBy/>
  <dcterms:modified xsi:type="dcterms:W3CDTF">2026-09-18T01:59:43Z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