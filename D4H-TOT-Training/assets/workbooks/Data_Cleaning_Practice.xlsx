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rty Data" sheetId="1" state="visible" r:id="rId3"/>
    <sheet name="Cleaning Formulas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<sst xmlns="http://schemas.openxmlformats.org/spreadsheetml/2006/main" count="516" uniqueCount="183">
  <si>
    <t xml:space="preserve">CaseID</t>
  </si>
  <si>
    <t xml:space="preserve">District</t>
  </si>
  <si>
    <t xml:space="preserve">Sex</t>
  </si>
  <si>
    <t xml:space="preserve">Age</t>
  </si>
  <si>
    <t xml:space="preserve">D0093</t>
  </si>
  <si>
    <t xml:space="preserve">Highland</t>
  </si>
  <si>
    <t xml:space="preserve">M</t>
  </si>
  <si>
    <t xml:space="preserve">D0080</t>
  </si>
  <si>
    <t xml:space="preserve">Northgate</t>
  </si>
  <si>
    <t xml:space="preserve">female</t>
  </si>
  <si>
    <t xml:space="preserve">D0112</t>
  </si>
  <si>
    <t xml:space="preserve">D0111</t>
  </si>
  <si>
    <t xml:space="preserve">F</t>
  </si>
  <si>
    <t xml:space="preserve">D0116</t>
  </si>
  <si>
    <t xml:space="preserve">Male</t>
  </si>
  <si>
    <t xml:space="preserve">D0050</t>
  </si>
  <si>
    <t xml:space="preserve">D0124</t>
  </si>
  <si>
    <t xml:space="preserve">D0142</t>
  </si>
  <si>
    <t xml:space="preserve">Eastfield</t>
  </si>
  <si>
    <t xml:space="preserve">D0059</t>
  </si>
  <si>
    <t xml:space="preserve">D0088</t>
  </si>
  <si>
    <t xml:space="preserve">Femle</t>
  </si>
  <si>
    <t xml:space="preserve">D0092</t>
  </si>
  <si>
    <t xml:space="preserve">Central</t>
  </si>
  <si>
    <t xml:space="preserve">D0004</t>
  </si>
  <si>
    <t xml:space="preserve">D0075</t>
  </si>
  <si>
    <t xml:space="preserve">Female</t>
  </si>
  <si>
    <t xml:space="preserve">D0123</t>
  </si>
  <si>
    <t xml:space="preserve">D0054</t>
  </si>
  <si>
    <t xml:space="preserve">D0077</t>
  </si>
  <si>
    <t xml:space="preserve">D0041</t>
  </si>
  <si>
    <t xml:space="preserve">D0096</t>
  </si>
  <si>
    <t xml:space="preserve">D0063</t>
  </si>
  <si>
    <t xml:space="preserve">D0013</t>
  </si>
  <si>
    <t xml:space="preserve">D0101</t>
  </si>
  <si>
    <t xml:space="preserve">D0146</t>
  </si>
  <si>
    <t xml:space="preserve">D0009</t>
  </si>
  <si>
    <t xml:space="preserve">male</t>
  </si>
  <si>
    <t xml:space="preserve">D0042</t>
  </si>
  <si>
    <t xml:space="preserve">D0037</t>
  </si>
  <si>
    <t xml:space="preserve">D0106</t>
  </si>
  <si>
    <t xml:space="preserve">D0062</t>
  </si>
  <si>
    <t xml:space="preserve">D0113</t>
  </si>
  <si>
    <t xml:space="preserve">D0073</t>
  </si>
  <si>
    <t xml:space="preserve">Riverside</t>
  </si>
  <si>
    <t xml:space="preserve">D0078</t>
  </si>
  <si>
    <t xml:space="preserve">D0048</t>
  </si>
  <si>
    <t xml:space="preserve">D0083</t>
  </si>
  <si>
    <t xml:space="preserve">D0125</t>
  </si>
  <si>
    <t xml:space="preserve">D0006</t>
  </si>
  <si>
    <t xml:space="preserve">D0095</t>
  </si>
  <si>
    <t xml:space="preserve">D0046</t>
  </si>
  <si>
    <t xml:space="preserve">D0086</t>
  </si>
  <si>
    <t xml:space="preserve">D0053</t>
  </si>
  <si>
    <t xml:space="preserve">D0131</t>
  </si>
  <si>
    <t xml:space="preserve">D0090</t>
  </si>
  <si>
    <t xml:space="preserve">D0020</t>
  </si>
  <si>
    <t xml:space="preserve">D0055</t>
  </si>
  <si>
    <t xml:space="preserve">D0126</t>
  </si>
  <si>
    <t xml:space="preserve">D0140</t>
  </si>
  <si>
    <t xml:space="preserve">D0036</t>
  </si>
  <si>
    <t xml:space="preserve">D0139</t>
  </si>
  <si>
    <t xml:space="preserve">D0119</t>
  </si>
  <si>
    <t xml:space="preserve">D0148</t>
  </si>
  <si>
    <t xml:space="preserve">D0001</t>
  </si>
  <si>
    <t xml:space="preserve">D0029</t>
  </si>
  <si>
    <t xml:space="preserve">D0076</t>
  </si>
  <si>
    <t xml:space="preserve">D0082</t>
  </si>
  <si>
    <t xml:space="preserve">D0128</t>
  </si>
  <si>
    <t xml:space="preserve">D0079</t>
  </si>
  <si>
    <t xml:space="preserve">D0099</t>
  </si>
  <si>
    <t xml:space="preserve">D0060</t>
  </si>
  <si>
    <t xml:space="preserve">D0074</t>
  </si>
  <si>
    <t xml:space="preserve">D0016</t>
  </si>
  <si>
    <t xml:space="preserve">D0118</t>
  </si>
  <si>
    <t xml:space="preserve">D0144</t>
  </si>
  <si>
    <t xml:space="preserve">D0043</t>
  </si>
  <si>
    <t xml:space="preserve">D0130</t>
  </si>
  <si>
    <t xml:space="preserve">D0114</t>
  </si>
  <si>
    <t xml:space="preserve">D0049</t>
  </si>
  <si>
    <t xml:space="preserve">D0017</t>
  </si>
  <si>
    <t xml:space="preserve">D0008</t>
  </si>
  <si>
    <t xml:space="preserve">D0122</t>
  </si>
  <si>
    <t xml:space="preserve">D0108</t>
  </si>
  <si>
    <t xml:space="preserve">D0102</t>
  </si>
  <si>
    <t xml:space="preserve">D0010</t>
  </si>
  <si>
    <t xml:space="preserve">D0100</t>
  </si>
  <si>
    <t xml:space="preserve">D0120</t>
  </si>
  <si>
    <t xml:space="preserve">D0105</t>
  </si>
  <si>
    <t xml:space="preserve">D0052</t>
  </si>
  <si>
    <t xml:space="preserve">D0137</t>
  </si>
  <si>
    <t xml:space="preserve">D0044</t>
  </si>
  <si>
    <t xml:space="preserve">D0030</t>
  </si>
  <si>
    <t xml:space="preserve">D0028</t>
  </si>
  <si>
    <t xml:space="preserve">D0115</t>
  </si>
  <si>
    <t xml:space="preserve">D0097</t>
  </si>
  <si>
    <t xml:space="preserve">D0051</t>
  </si>
  <si>
    <t xml:space="preserve">D0064</t>
  </si>
  <si>
    <t xml:space="preserve">D0089</t>
  </si>
  <si>
    <t xml:space="preserve">D0056</t>
  </si>
  <si>
    <t xml:space="preserve">D0150</t>
  </si>
  <si>
    <t xml:space="preserve">D0085</t>
  </si>
  <si>
    <t xml:space="preserve">D0014</t>
  </si>
  <si>
    <t xml:space="preserve">D0110</t>
  </si>
  <si>
    <t xml:space="preserve">D0135</t>
  </si>
  <si>
    <t xml:space="preserve">D0061</t>
  </si>
  <si>
    <t xml:space="preserve">D0066</t>
  </si>
  <si>
    <t xml:space="preserve">D0025</t>
  </si>
  <si>
    <t xml:space="preserve">D0071</t>
  </si>
  <si>
    <t xml:space="preserve">D0145</t>
  </si>
  <si>
    <t xml:space="preserve">D0094</t>
  </si>
  <si>
    <t xml:space="preserve">D0002</t>
  </si>
  <si>
    <t xml:space="preserve">D0033</t>
  </si>
  <si>
    <t xml:space="preserve">D0133</t>
  </si>
  <si>
    <t xml:space="preserve">D0103</t>
  </si>
  <si>
    <t xml:space="preserve">D0045</t>
  </si>
  <si>
    <t xml:space="preserve">D0035</t>
  </si>
  <si>
    <t xml:space="preserve">D0141</t>
  </si>
  <si>
    <t xml:space="preserve">D0087</t>
  </si>
  <si>
    <t xml:space="preserve">D0065</t>
  </si>
  <si>
    <t xml:space="preserve">D0058</t>
  </si>
  <si>
    <t xml:space="preserve">D0038</t>
  </si>
  <si>
    <t xml:space="preserve">D0027</t>
  </si>
  <si>
    <t xml:space="preserve">D0098</t>
  </si>
  <si>
    <t xml:space="preserve">D0134</t>
  </si>
  <si>
    <t xml:space="preserve">D0081</t>
  </si>
  <si>
    <t xml:space="preserve">D0040</t>
  </si>
  <si>
    <t xml:space="preserve">D0026</t>
  </si>
  <si>
    <t xml:space="preserve">D0024</t>
  </si>
  <si>
    <t xml:space="preserve">D0007</t>
  </si>
  <si>
    <t xml:space="preserve">D0129</t>
  </si>
  <si>
    <t xml:space="preserve">D0021</t>
  </si>
  <si>
    <t xml:space="preserve">D0005</t>
  </si>
  <si>
    <t xml:space="preserve">D0121</t>
  </si>
  <si>
    <t xml:space="preserve">D0031</t>
  </si>
  <si>
    <t xml:space="preserve">D0091</t>
  </si>
  <si>
    <t xml:space="preserve">D0136</t>
  </si>
  <si>
    <t xml:space="preserve">D0012</t>
  </si>
  <si>
    <t xml:space="preserve">D0143</t>
  </si>
  <si>
    <t xml:space="preserve">D0107</t>
  </si>
  <si>
    <t xml:space="preserve">D0003</t>
  </si>
  <si>
    <t xml:space="preserve">D0117</t>
  </si>
  <si>
    <t xml:space="preserve">D0032</t>
  </si>
  <si>
    <t xml:space="preserve">D0018</t>
  </si>
  <si>
    <t xml:space="preserve">D0057</t>
  </si>
  <si>
    <t xml:space="preserve">D0149</t>
  </si>
  <si>
    <t xml:space="preserve">D0069</t>
  </si>
  <si>
    <t xml:space="preserve">D0019</t>
  </si>
  <si>
    <t xml:space="preserve">D0132</t>
  </si>
  <si>
    <t xml:space="preserve">D0015</t>
  </si>
  <si>
    <t xml:space="preserve">D0072</t>
  </si>
  <si>
    <t xml:space="preserve">D0023</t>
  </si>
  <si>
    <t xml:space="preserve">D0084</t>
  </si>
  <si>
    <t xml:space="preserve">D0127</t>
  </si>
  <si>
    <t xml:space="preserve">D0147</t>
  </si>
  <si>
    <t xml:space="preserve">D0138</t>
  </si>
  <si>
    <t xml:space="preserve">D0039</t>
  </si>
  <si>
    <t xml:space="preserve">D0104</t>
  </si>
  <si>
    <t xml:space="preserve">D0067</t>
  </si>
  <si>
    <t xml:space="preserve">D0109</t>
  </si>
  <si>
    <t xml:space="preserve">D0034</t>
  </si>
  <si>
    <t xml:space="preserve">D0047</t>
  </si>
  <si>
    <t xml:space="preserve">D0011</t>
  </si>
  <si>
    <t xml:space="preserve">D0070</t>
  </si>
  <si>
    <t xml:space="preserve">D0068</t>
  </si>
  <si>
    <t xml:space="preserve">D0022</t>
  </si>
  <si>
    <t xml:space="preserve">Data Cleaning — Worked Formulas (reference to 'Dirty Data' sheet)</t>
  </si>
  <si>
    <t xml:space="preserve">Summary Counts</t>
  </si>
  <si>
    <t xml:space="preserve">Missing ages</t>
  </si>
  <si>
    <t xml:space="preserve">Invalid ages</t>
  </si>
  <si>
    <t xml:space="preserve">Possible duplicate rows</t>
  </si>
  <si>
    <t xml:space="preserve">Unrecognized sex entries</t>
  </si>
  <si>
    <t xml:space="preserve">Data Cleaning Practice Workbook — Instructions</t>
  </si>
  <si>
    <t xml:space="preserve">Purpose: practice cleaning data in Excel (Monday session: 'Cleaning data in Excel').</t>
  </si>
  <si>
    <t xml:space="preserve">'Dirty Data' contains deliberately messy records: inconsistent Sex spellings ('M','m','Male','male','Femle'), blank ages, three implausible ages, and 15 duplicated rows mixed in among the data.</t>
  </si>
  <si>
    <t xml:space="preserve">'Cleaning Formulas' shows the worked solution using TRIM, PROPER, IFS, and COUNTIFS, fully live — edit 'Dirty Data' and this sheet recalculates.</t>
  </si>
  <si>
    <t xml:space="preserve">Exercise steps:</t>
  </si>
  <si>
    <t xml:space="preserve">  1. Open 'Dirty Data' and scan the Sex column for spelling variants.</t>
  </si>
  <si>
    <t xml:space="preserve">  2. In 'Cleaning Formulas', study the Sex_clean formula (an IFS statement) and the Age_flag formula (flags Missing vs Invalid vs Valid without deleting anything).</t>
  </si>
  <si>
    <t xml:space="preserve">  3. Review the Duplicate_flag column and manually inspect a few flagged rows in 'Dirty Data' to confirm they are true duplicates.</t>
  </si>
  <si>
    <t xml:space="preserve">  4. Check the Summary Counts at the bottom of 'Cleaning Formulas' against your own manual count as a sanity check.</t>
  </si>
  <si>
    <t xml:space="preserve">  5. Apply Data Validation (Data tab &gt; Data Validation &gt; List) to the Sex column in a copy of 'Dirty Data' so future entries are restricted to 'Male' or 'Female'.</t>
  </si>
  <si>
    <t xml:space="preserve">Note: IFS() requires Excel 2019 or Microsoft 365 (or a current version of LibreOffice Calc). If your Excel version does not recognize IFS, use nested IF statements as a substitute.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</si>
</sst>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B3157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B315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A3B3B"/>
        <bgColor rgb="FF993366"/>
      </patternFill>
    </fill>
    <fill>
      <patternFill patternType="solid">
        <fgColor rgb="FF0E7C8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808080"/>
      <rgbColor rgb="FF9999FF"/>
      <rgbColor rgb="FF8A3B3B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1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n">
        <v>24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  <c r="D3" s="2" t="n">
        <v>46</v>
      </c>
    </row>
    <row r="4" customFormat="false" ht="15" hidden="false" customHeight="false" outlineLevel="0" collapsed="false">
      <c r="A4" s="2" t="s">
        <v>10</v>
      </c>
      <c r="B4" s="2" t="s">
        <v>8</v>
      </c>
      <c r="C4" s="2" t="s">
        <v>9</v>
      </c>
      <c r="D4" s="2" t="n">
        <v>70</v>
      </c>
    </row>
    <row r="5" customFormat="false" ht="15" hidden="false" customHeight="false" outlineLevel="0" collapsed="false">
      <c r="A5" s="2" t="s">
        <v>11</v>
      </c>
      <c r="B5" s="2" t="s">
        <v>5</v>
      </c>
      <c r="C5" s="2" t="s">
        <v>12</v>
      </c>
      <c r="D5" s="2"/>
    </row>
    <row r="6" customFormat="false" ht="15" hidden="false" customHeight="false" outlineLevel="0" collapsed="false">
      <c r="A6" s="2" t="s">
        <v>13</v>
      </c>
      <c r="B6" s="2" t="s">
        <v>8</v>
      </c>
      <c r="C6" s="2" t="s">
        <v>14</v>
      </c>
      <c r="D6" s="2" t="n">
        <v>32</v>
      </c>
    </row>
    <row r="7" customFormat="false" ht="15" hidden="false" customHeight="false" outlineLevel="0" collapsed="false">
      <c r="A7" s="2" t="s">
        <v>15</v>
      </c>
      <c r="B7" s="2" t="s">
        <v>5</v>
      </c>
      <c r="C7" s="2" t="s">
        <v>6</v>
      </c>
      <c r="D7" s="2" t="n">
        <v>87</v>
      </c>
    </row>
    <row r="8" customFormat="false" ht="15" hidden="false" customHeight="false" outlineLevel="0" collapsed="false">
      <c r="A8" s="2" t="s">
        <v>16</v>
      </c>
      <c r="B8" s="2" t="s">
        <v>8</v>
      </c>
      <c r="C8" s="2" t="s">
        <v>9</v>
      </c>
      <c r="D8" s="2" t="n">
        <v>19</v>
      </c>
    </row>
    <row r="9" customFormat="false" ht="15" hidden="false" customHeight="false" outlineLevel="0" collapsed="false">
      <c r="A9" s="2" t="s">
        <v>17</v>
      </c>
      <c r="B9" s="2" t="s">
        <v>18</v>
      </c>
      <c r="C9" s="2" t="s">
        <v>6</v>
      </c>
      <c r="D9" s="2" t="n">
        <v>71</v>
      </c>
    </row>
    <row r="10" customFormat="false" ht="15" hidden="false" customHeight="false" outlineLevel="0" collapsed="false">
      <c r="A10" s="2" t="s">
        <v>19</v>
      </c>
      <c r="B10" s="2" t="s">
        <v>18</v>
      </c>
      <c r="C10" s="2" t="s">
        <v>9</v>
      </c>
      <c r="D10" s="2" t="n">
        <v>83</v>
      </c>
    </row>
    <row r="11" customFormat="false" ht="15" hidden="false" customHeight="false" outlineLevel="0" collapsed="false">
      <c r="A11" s="2" t="s">
        <v>20</v>
      </c>
      <c r="B11" s="2" t="s">
        <v>18</v>
      </c>
      <c r="C11" s="2" t="s">
        <v>21</v>
      </c>
      <c r="D11" s="2" t="n">
        <v>24</v>
      </c>
    </row>
    <row r="12" customFormat="false" ht="15" hidden="false" customHeight="false" outlineLevel="0" collapsed="false">
      <c r="A12" s="2" t="s">
        <v>22</v>
      </c>
      <c r="B12" s="2" t="s">
        <v>23</v>
      </c>
      <c r="C12" s="2" t="s">
        <v>14</v>
      </c>
      <c r="D12" s="2" t="n">
        <v>999</v>
      </c>
    </row>
    <row r="13" customFormat="false" ht="15" hidden="false" customHeight="false" outlineLevel="0" collapsed="false">
      <c r="A13" s="2" t="s">
        <v>24</v>
      </c>
      <c r="B13" s="2" t="s">
        <v>23</v>
      </c>
      <c r="C13" s="2" t="s">
        <v>9</v>
      </c>
      <c r="D13" s="2" t="n">
        <v>27</v>
      </c>
    </row>
    <row r="14" customFormat="false" ht="15" hidden="false" customHeight="false" outlineLevel="0" collapsed="false">
      <c r="A14" s="2" t="s">
        <v>25</v>
      </c>
      <c r="B14" s="2" t="s">
        <v>5</v>
      </c>
      <c r="C14" s="2" t="s">
        <v>26</v>
      </c>
      <c r="D14" s="2" t="n">
        <v>61</v>
      </c>
    </row>
    <row r="15" customFormat="false" ht="15" hidden="false" customHeight="false" outlineLevel="0" collapsed="false">
      <c r="A15" s="2" t="s">
        <v>27</v>
      </c>
      <c r="B15" s="2" t="s">
        <v>18</v>
      </c>
      <c r="C15" s="2" t="s">
        <v>26</v>
      </c>
      <c r="D15" s="2" t="n">
        <v>64</v>
      </c>
    </row>
    <row r="16" customFormat="false" ht="15" hidden="false" customHeight="false" outlineLevel="0" collapsed="false">
      <c r="A16" s="2" t="s">
        <v>28</v>
      </c>
      <c r="B16" s="2" t="s">
        <v>23</v>
      </c>
      <c r="C16" s="2" t="s">
        <v>26</v>
      </c>
      <c r="D16" s="2" t="n">
        <v>75</v>
      </c>
    </row>
    <row r="17" customFormat="false" ht="15" hidden="false" customHeight="false" outlineLevel="0" collapsed="false">
      <c r="A17" s="2" t="s">
        <v>29</v>
      </c>
      <c r="B17" s="2" t="s">
        <v>23</v>
      </c>
      <c r="C17" s="2" t="s">
        <v>12</v>
      </c>
      <c r="D17" s="2" t="n">
        <v>43</v>
      </c>
    </row>
    <row r="18" customFormat="false" ht="15" hidden="false" customHeight="false" outlineLevel="0" collapsed="false">
      <c r="A18" s="2" t="s">
        <v>30</v>
      </c>
      <c r="B18" s="2" t="s">
        <v>23</v>
      </c>
      <c r="C18" s="2" t="s">
        <v>26</v>
      </c>
      <c r="D18" s="2" t="n">
        <v>45</v>
      </c>
    </row>
    <row r="19" customFormat="false" ht="15" hidden="false" customHeight="false" outlineLevel="0" collapsed="false">
      <c r="A19" s="2" t="s">
        <v>31</v>
      </c>
      <c r="B19" s="2" t="s">
        <v>8</v>
      </c>
      <c r="C19" s="2" t="s">
        <v>14</v>
      </c>
      <c r="D19" s="2" t="n">
        <v>29</v>
      </c>
    </row>
    <row r="20" customFormat="false" ht="15" hidden="false" customHeight="false" outlineLevel="0" collapsed="false">
      <c r="A20" s="2" t="s">
        <v>32</v>
      </c>
      <c r="B20" s="2" t="s">
        <v>5</v>
      </c>
      <c r="C20" s="2" t="s">
        <v>12</v>
      </c>
      <c r="D20" s="2" t="n">
        <v>51</v>
      </c>
    </row>
    <row r="21" customFormat="false" ht="15" hidden="false" customHeight="false" outlineLevel="0" collapsed="false">
      <c r="A21" s="2" t="s">
        <v>33</v>
      </c>
      <c r="B21" s="2" t="s">
        <v>8</v>
      </c>
      <c r="C21" s="2" t="s">
        <v>6</v>
      </c>
      <c r="D21" s="2" t="n">
        <v>53</v>
      </c>
    </row>
    <row r="22" customFormat="false" ht="15" hidden="false" customHeight="false" outlineLevel="0" collapsed="false">
      <c r="A22" s="2" t="s">
        <v>34</v>
      </c>
      <c r="B22" s="2" t="s">
        <v>23</v>
      </c>
      <c r="C22" s="2" t="s">
        <v>21</v>
      </c>
      <c r="D22" s="2" t="n">
        <v>84</v>
      </c>
    </row>
    <row r="23" customFormat="false" ht="15" hidden="false" customHeight="false" outlineLevel="0" collapsed="false">
      <c r="A23" s="2" t="s">
        <v>35</v>
      </c>
      <c r="B23" s="2" t="s">
        <v>23</v>
      </c>
      <c r="C23" s="2" t="s">
        <v>12</v>
      </c>
      <c r="D23" s="2" t="n">
        <v>30</v>
      </c>
    </row>
    <row r="24" customFormat="false" ht="15" hidden="false" customHeight="false" outlineLevel="0" collapsed="false">
      <c r="A24" s="2" t="s">
        <v>36</v>
      </c>
      <c r="B24" s="2" t="s">
        <v>23</v>
      </c>
      <c r="C24" s="2" t="s">
        <v>37</v>
      </c>
      <c r="D24" s="2" t="n">
        <v>80</v>
      </c>
    </row>
    <row r="25" customFormat="false" ht="15" hidden="false" customHeight="false" outlineLevel="0" collapsed="false">
      <c r="A25" s="2" t="s">
        <v>38</v>
      </c>
      <c r="B25" s="2" t="s">
        <v>8</v>
      </c>
      <c r="C25" s="2" t="s">
        <v>9</v>
      </c>
      <c r="D25" s="2"/>
    </row>
    <row r="26" customFormat="false" ht="15" hidden="false" customHeight="false" outlineLevel="0" collapsed="false">
      <c r="A26" s="2" t="s">
        <v>39</v>
      </c>
      <c r="B26" s="2" t="s">
        <v>23</v>
      </c>
      <c r="C26" s="2" t="s">
        <v>14</v>
      </c>
      <c r="D26" s="2" t="n">
        <v>93</v>
      </c>
    </row>
    <row r="27" customFormat="false" ht="15" hidden="false" customHeight="false" outlineLevel="0" collapsed="false">
      <c r="A27" s="2" t="s">
        <v>40</v>
      </c>
      <c r="B27" s="2" t="s">
        <v>5</v>
      </c>
      <c r="C27" s="2" t="s">
        <v>26</v>
      </c>
      <c r="D27" s="2" t="n">
        <v>51</v>
      </c>
    </row>
    <row r="28" customFormat="false" ht="15" hidden="false" customHeight="false" outlineLevel="0" collapsed="false">
      <c r="A28" s="2" t="s">
        <v>41</v>
      </c>
      <c r="B28" s="2" t="s">
        <v>5</v>
      </c>
      <c r="C28" s="2" t="s">
        <v>26</v>
      </c>
      <c r="D28" s="2" t="n">
        <v>13</v>
      </c>
    </row>
    <row r="29" customFormat="false" ht="15" hidden="false" customHeight="false" outlineLevel="0" collapsed="false">
      <c r="A29" s="2" t="s">
        <v>42</v>
      </c>
      <c r="B29" s="2" t="s">
        <v>8</v>
      </c>
      <c r="C29" s="2" t="s">
        <v>14</v>
      </c>
      <c r="D29" s="2" t="n">
        <v>1</v>
      </c>
    </row>
    <row r="30" customFormat="false" ht="15" hidden="false" customHeight="false" outlineLevel="0" collapsed="false">
      <c r="A30" s="2" t="s">
        <v>43</v>
      </c>
      <c r="B30" s="2" t="s">
        <v>44</v>
      </c>
      <c r="C30" s="2" t="s">
        <v>26</v>
      </c>
      <c r="D30" s="2" t="n">
        <v>15</v>
      </c>
    </row>
    <row r="31" customFormat="false" ht="15" hidden="false" customHeight="false" outlineLevel="0" collapsed="false">
      <c r="A31" s="2" t="s">
        <v>45</v>
      </c>
      <c r="B31" s="2" t="s">
        <v>44</v>
      </c>
      <c r="C31" s="2" t="s">
        <v>26</v>
      </c>
      <c r="D31" s="2" t="n">
        <v>88</v>
      </c>
    </row>
    <row r="32" customFormat="false" ht="15" hidden="false" customHeight="false" outlineLevel="0" collapsed="false">
      <c r="A32" s="2" t="s">
        <v>46</v>
      </c>
      <c r="B32" s="2" t="s">
        <v>44</v>
      </c>
      <c r="C32" s="2" t="s">
        <v>37</v>
      </c>
      <c r="D32" s="2" t="n">
        <v>55</v>
      </c>
    </row>
    <row r="33" customFormat="false" ht="15" hidden="false" customHeight="false" outlineLevel="0" collapsed="false">
      <c r="A33" s="2" t="s">
        <v>47</v>
      </c>
      <c r="B33" s="2" t="s">
        <v>44</v>
      </c>
      <c r="C33" s="2" t="s">
        <v>12</v>
      </c>
      <c r="D33" s="2" t="n">
        <v>11</v>
      </c>
    </row>
    <row r="34" customFormat="false" ht="15" hidden="false" customHeight="false" outlineLevel="0" collapsed="false">
      <c r="A34" s="2" t="s">
        <v>48</v>
      </c>
      <c r="B34" s="2" t="s">
        <v>18</v>
      </c>
      <c r="C34" s="2" t="s">
        <v>9</v>
      </c>
      <c r="D34" s="2"/>
    </row>
    <row r="35" customFormat="false" ht="15" hidden="false" customHeight="false" outlineLevel="0" collapsed="false">
      <c r="A35" s="2" t="s">
        <v>49</v>
      </c>
      <c r="B35" s="2" t="s">
        <v>5</v>
      </c>
      <c r="C35" s="2" t="s">
        <v>14</v>
      </c>
      <c r="D35" s="2" t="n">
        <v>30</v>
      </c>
    </row>
    <row r="36" customFormat="false" ht="15" hidden="false" customHeight="false" outlineLevel="0" collapsed="false">
      <c r="A36" s="2" t="s">
        <v>50</v>
      </c>
      <c r="B36" s="2" t="s">
        <v>44</v>
      </c>
      <c r="C36" s="2" t="s">
        <v>6</v>
      </c>
      <c r="D36" s="2" t="n">
        <v>10</v>
      </c>
    </row>
    <row r="37" customFormat="false" ht="15" hidden="false" customHeight="false" outlineLevel="0" collapsed="false">
      <c r="A37" s="2" t="s">
        <v>51</v>
      </c>
      <c r="B37" s="2" t="s">
        <v>5</v>
      </c>
      <c r="C37" s="2" t="s">
        <v>14</v>
      </c>
      <c r="D37" s="2" t="n">
        <v>21</v>
      </c>
    </row>
    <row r="38" customFormat="false" ht="15" hidden="false" customHeight="false" outlineLevel="0" collapsed="false">
      <c r="A38" s="2" t="s">
        <v>52</v>
      </c>
      <c r="B38" s="2" t="s">
        <v>18</v>
      </c>
      <c r="C38" s="2" t="s">
        <v>9</v>
      </c>
      <c r="D38" s="2" t="n">
        <v>64</v>
      </c>
    </row>
    <row r="39" customFormat="false" ht="15" hidden="false" customHeight="false" outlineLevel="0" collapsed="false">
      <c r="A39" s="2" t="s">
        <v>53</v>
      </c>
      <c r="B39" s="2" t="s">
        <v>8</v>
      </c>
      <c r="C39" s="2" t="s">
        <v>12</v>
      </c>
      <c r="D39" s="2" t="n">
        <v>29</v>
      </c>
    </row>
    <row r="40" customFormat="false" ht="15" hidden="false" customHeight="false" outlineLevel="0" collapsed="false">
      <c r="A40" s="2" t="s">
        <v>54</v>
      </c>
      <c r="B40" s="2" t="s">
        <v>18</v>
      </c>
      <c r="C40" s="2" t="s">
        <v>9</v>
      </c>
      <c r="D40" s="2" t="n">
        <v>71</v>
      </c>
    </row>
    <row r="41" customFormat="false" ht="15" hidden="false" customHeight="false" outlineLevel="0" collapsed="false">
      <c r="A41" s="2" t="s">
        <v>55</v>
      </c>
      <c r="B41" s="2" t="s">
        <v>8</v>
      </c>
      <c r="C41" s="2" t="s">
        <v>37</v>
      </c>
      <c r="D41" s="2" t="n">
        <v>66</v>
      </c>
    </row>
    <row r="42" customFormat="false" ht="15" hidden="false" customHeight="false" outlineLevel="0" collapsed="false">
      <c r="A42" s="2" t="s">
        <v>56</v>
      </c>
      <c r="B42" s="2" t="s">
        <v>18</v>
      </c>
      <c r="C42" s="2" t="s">
        <v>37</v>
      </c>
      <c r="D42" s="2" t="n">
        <v>63</v>
      </c>
    </row>
    <row r="43" customFormat="false" ht="15" hidden="false" customHeight="false" outlineLevel="0" collapsed="false">
      <c r="A43" s="2" t="s">
        <v>57</v>
      </c>
      <c r="B43" s="2" t="s">
        <v>8</v>
      </c>
      <c r="C43" s="2" t="s">
        <v>6</v>
      </c>
      <c r="D43" s="2" t="n">
        <v>36</v>
      </c>
    </row>
    <row r="44" customFormat="false" ht="15" hidden="false" customHeight="false" outlineLevel="0" collapsed="false">
      <c r="A44" s="2" t="s">
        <v>58</v>
      </c>
      <c r="B44" s="2" t="s">
        <v>5</v>
      </c>
      <c r="C44" s="2" t="s">
        <v>21</v>
      </c>
      <c r="D44" s="2" t="n">
        <v>23</v>
      </c>
    </row>
    <row r="45" customFormat="false" ht="15" hidden="false" customHeight="false" outlineLevel="0" collapsed="false">
      <c r="A45" s="2" t="s">
        <v>59</v>
      </c>
      <c r="B45" s="2" t="s">
        <v>5</v>
      </c>
      <c r="C45" s="2" t="s">
        <v>9</v>
      </c>
      <c r="D45" s="2" t="n">
        <v>68</v>
      </c>
    </row>
    <row r="46" customFormat="false" ht="15" hidden="false" customHeight="false" outlineLevel="0" collapsed="false">
      <c r="A46" s="2" t="s">
        <v>60</v>
      </c>
      <c r="B46" s="2" t="s">
        <v>44</v>
      </c>
      <c r="C46" s="2" t="s">
        <v>26</v>
      </c>
      <c r="D46" s="2"/>
    </row>
    <row r="47" customFormat="false" ht="15" hidden="false" customHeight="false" outlineLevel="0" collapsed="false">
      <c r="A47" s="2" t="s">
        <v>61</v>
      </c>
      <c r="B47" s="2" t="s">
        <v>8</v>
      </c>
      <c r="C47" s="2" t="s">
        <v>12</v>
      </c>
      <c r="D47" s="2" t="n">
        <v>35</v>
      </c>
    </row>
    <row r="48" customFormat="false" ht="15" hidden="false" customHeight="false" outlineLevel="0" collapsed="false">
      <c r="A48" s="2" t="s">
        <v>62</v>
      </c>
      <c r="B48" s="2" t="s">
        <v>44</v>
      </c>
      <c r="C48" s="2" t="s">
        <v>6</v>
      </c>
      <c r="D48" s="2" t="n">
        <v>69</v>
      </c>
    </row>
    <row r="49" customFormat="false" ht="15" hidden="false" customHeight="false" outlineLevel="0" collapsed="false">
      <c r="A49" s="2" t="s">
        <v>63</v>
      </c>
      <c r="B49" s="2" t="s">
        <v>44</v>
      </c>
      <c r="C49" s="2" t="s">
        <v>21</v>
      </c>
      <c r="D49" s="2" t="n">
        <v>15</v>
      </c>
    </row>
    <row r="50" customFormat="false" ht="15" hidden="false" customHeight="false" outlineLevel="0" collapsed="false">
      <c r="A50" s="2" t="s">
        <v>64</v>
      </c>
      <c r="B50" s="2" t="s">
        <v>44</v>
      </c>
      <c r="C50" s="2" t="s">
        <v>37</v>
      </c>
      <c r="D50" s="2" t="n">
        <v>50</v>
      </c>
    </row>
    <row r="51" customFormat="false" ht="15" hidden="false" customHeight="false" outlineLevel="0" collapsed="false">
      <c r="A51" s="2" t="s">
        <v>65</v>
      </c>
      <c r="B51" s="2" t="s">
        <v>5</v>
      </c>
      <c r="C51" s="2" t="s">
        <v>37</v>
      </c>
      <c r="D51" s="2" t="n">
        <v>43</v>
      </c>
    </row>
    <row r="52" customFormat="false" ht="15" hidden="false" customHeight="false" outlineLevel="0" collapsed="false">
      <c r="A52" s="2" t="s">
        <v>66</v>
      </c>
      <c r="B52" s="2" t="s">
        <v>44</v>
      </c>
      <c r="C52" s="2" t="s">
        <v>14</v>
      </c>
      <c r="D52" s="2" t="n">
        <v>18</v>
      </c>
    </row>
    <row r="53" customFormat="false" ht="15" hidden="false" customHeight="false" outlineLevel="0" collapsed="false">
      <c r="A53" s="2" t="s">
        <v>67</v>
      </c>
      <c r="B53" s="2" t="s">
        <v>23</v>
      </c>
      <c r="C53" s="2" t="s">
        <v>21</v>
      </c>
      <c r="D53" s="2" t="n">
        <v>67</v>
      </c>
    </row>
    <row r="54" customFormat="false" ht="15" hidden="false" customHeight="false" outlineLevel="0" collapsed="false">
      <c r="A54" s="2" t="s">
        <v>68</v>
      </c>
      <c r="B54" s="2" t="s">
        <v>8</v>
      </c>
      <c r="C54" s="2" t="s">
        <v>37</v>
      </c>
      <c r="D54" s="2" t="n">
        <v>60</v>
      </c>
    </row>
    <row r="55" customFormat="false" ht="15" hidden="false" customHeight="false" outlineLevel="0" collapsed="false">
      <c r="A55" s="2" t="s">
        <v>69</v>
      </c>
      <c r="B55" s="2" t="s">
        <v>8</v>
      </c>
      <c r="C55" s="2" t="s">
        <v>9</v>
      </c>
      <c r="D55" s="2" t="n">
        <v>2</v>
      </c>
    </row>
    <row r="56" customFormat="false" ht="15" hidden="false" customHeight="false" outlineLevel="0" collapsed="false">
      <c r="A56" s="2" t="s">
        <v>70</v>
      </c>
      <c r="B56" s="2" t="s">
        <v>18</v>
      </c>
      <c r="C56" s="2" t="s">
        <v>21</v>
      </c>
      <c r="D56" s="2" t="n">
        <v>0</v>
      </c>
    </row>
    <row r="57" customFormat="false" ht="15" hidden="false" customHeight="false" outlineLevel="0" collapsed="false">
      <c r="A57" s="2" t="s">
        <v>71</v>
      </c>
      <c r="B57" s="2" t="s">
        <v>23</v>
      </c>
      <c r="C57" s="2" t="s">
        <v>26</v>
      </c>
      <c r="D57" s="2" t="n">
        <v>87</v>
      </c>
    </row>
    <row r="58" customFormat="false" ht="15" hidden="false" customHeight="false" outlineLevel="0" collapsed="false">
      <c r="A58" s="2" t="s">
        <v>72</v>
      </c>
      <c r="B58" s="2" t="s">
        <v>23</v>
      </c>
      <c r="C58" s="2" t="s">
        <v>21</v>
      </c>
      <c r="D58" s="2" t="n">
        <v>62</v>
      </c>
    </row>
    <row r="59" customFormat="false" ht="15" hidden="false" customHeight="false" outlineLevel="0" collapsed="false">
      <c r="A59" s="2" t="s">
        <v>73</v>
      </c>
      <c r="B59" s="2" t="s">
        <v>8</v>
      </c>
      <c r="C59" s="2" t="s">
        <v>14</v>
      </c>
      <c r="D59" s="2" t="n">
        <v>74</v>
      </c>
    </row>
    <row r="60" customFormat="false" ht="15" hidden="false" customHeight="false" outlineLevel="0" collapsed="false">
      <c r="A60" s="2" t="s">
        <v>74</v>
      </c>
      <c r="B60" s="2" t="s">
        <v>8</v>
      </c>
      <c r="C60" s="2" t="s">
        <v>21</v>
      </c>
      <c r="D60" s="2" t="n">
        <v>75</v>
      </c>
    </row>
    <row r="61" customFormat="false" ht="15" hidden="false" customHeight="false" outlineLevel="0" collapsed="false">
      <c r="A61" s="2" t="s">
        <v>75</v>
      </c>
      <c r="B61" s="2" t="s">
        <v>8</v>
      </c>
      <c r="C61" s="2" t="s">
        <v>26</v>
      </c>
      <c r="D61" s="2" t="n">
        <v>15</v>
      </c>
    </row>
    <row r="62" customFormat="false" ht="15" hidden="false" customHeight="false" outlineLevel="0" collapsed="false">
      <c r="A62" s="2" t="s">
        <v>76</v>
      </c>
      <c r="B62" s="2" t="s">
        <v>5</v>
      </c>
      <c r="C62" s="2" t="s">
        <v>14</v>
      </c>
      <c r="D62" s="2" t="n">
        <v>27</v>
      </c>
    </row>
    <row r="63" customFormat="false" ht="15" hidden="false" customHeight="false" outlineLevel="0" collapsed="false">
      <c r="A63" s="2" t="s">
        <v>77</v>
      </c>
      <c r="B63" s="2" t="s">
        <v>18</v>
      </c>
      <c r="C63" s="2" t="s">
        <v>14</v>
      </c>
      <c r="D63" s="2" t="n">
        <v>41</v>
      </c>
    </row>
    <row r="64" customFormat="false" ht="15" hidden="false" customHeight="false" outlineLevel="0" collapsed="false">
      <c r="A64" s="2" t="s">
        <v>78</v>
      </c>
      <c r="B64" s="2" t="s">
        <v>23</v>
      </c>
      <c r="C64" s="2" t="s">
        <v>9</v>
      </c>
      <c r="D64" s="2" t="n">
        <v>95</v>
      </c>
    </row>
    <row r="65" customFormat="false" ht="15" hidden="false" customHeight="false" outlineLevel="0" collapsed="false">
      <c r="A65" s="2" t="s">
        <v>79</v>
      </c>
      <c r="B65" s="2" t="s">
        <v>18</v>
      </c>
      <c r="C65" s="2" t="s">
        <v>6</v>
      </c>
      <c r="D65" s="2" t="n">
        <v>90</v>
      </c>
    </row>
    <row r="66" customFormat="false" ht="15" hidden="false" customHeight="false" outlineLevel="0" collapsed="false">
      <c r="A66" s="2" t="s">
        <v>80</v>
      </c>
      <c r="B66" s="2" t="s">
        <v>18</v>
      </c>
      <c r="C66" s="2" t="s">
        <v>12</v>
      </c>
      <c r="D66" s="2" t="n">
        <v>24</v>
      </c>
    </row>
    <row r="67" customFormat="false" ht="15" hidden="false" customHeight="false" outlineLevel="0" collapsed="false">
      <c r="A67" s="2" t="s">
        <v>81</v>
      </c>
      <c r="B67" s="2" t="s">
        <v>23</v>
      </c>
      <c r="C67" s="2" t="s">
        <v>21</v>
      </c>
      <c r="D67" s="2" t="n">
        <v>72</v>
      </c>
    </row>
    <row r="68" customFormat="false" ht="15" hidden="false" customHeight="false" outlineLevel="0" collapsed="false">
      <c r="A68" s="2" t="s">
        <v>82</v>
      </c>
      <c r="B68" s="2" t="s">
        <v>5</v>
      </c>
      <c r="C68" s="2" t="s">
        <v>12</v>
      </c>
      <c r="D68" s="2" t="n">
        <v>74</v>
      </c>
    </row>
    <row r="69" customFormat="false" ht="15" hidden="false" customHeight="false" outlineLevel="0" collapsed="false">
      <c r="A69" s="2" t="s">
        <v>83</v>
      </c>
      <c r="B69" s="2" t="s">
        <v>8</v>
      </c>
      <c r="C69" s="2" t="s">
        <v>37</v>
      </c>
      <c r="D69" s="2" t="n">
        <v>140</v>
      </c>
    </row>
    <row r="70" customFormat="false" ht="15" hidden="false" customHeight="false" outlineLevel="0" collapsed="false">
      <c r="A70" s="2" t="s">
        <v>84</v>
      </c>
      <c r="B70" s="2" t="s">
        <v>23</v>
      </c>
      <c r="C70" s="2" t="s">
        <v>26</v>
      </c>
      <c r="D70" s="2"/>
    </row>
    <row r="71" customFormat="false" ht="15" hidden="false" customHeight="false" outlineLevel="0" collapsed="false">
      <c r="A71" s="2" t="s">
        <v>85</v>
      </c>
      <c r="B71" s="2" t="s">
        <v>18</v>
      </c>
      <c r="C71" s="2" t="s">
        <v>14</v>
      </c>
      <c r="D71" s="2" t="n">
        <v>73</v>
      </c>
    </row>
    <row r="72" customFormat="false" ht="15" hidden="false" customHeight="false" outlineLevel="0" collapsed="false">
      <c r="A72" s="2" t="s">
        <v>86</v>
      </c>
      <c r="B72" s="2" t="s">
        <v>5</v>
      </c>
      <c r="C72" s="2" t="s">
        <v>12</v>
      </c>
      <c r="D72" s="2" t="n">
        <v>44</v>
      </c>
    </row>
    <row r="73" customFormat="false" ht="15" hidden="false" customHeight="false" outlineLevel="0" collapsed="false">
      <c r="A73" s="2" t="s">
        <v>80</v>
      </c>
      <c r="B73" s="2" t="s">
        <v>18</v>
      </c>
      <c r="C73" s="2" t="s">
        <v>12</v>
      </c>
      <c r="D73" s="2" t="n">
        <v>24</v>
      </c>
    </row>
    <row r="74" customFormat="false" ht="15" hidden="false" customHeight="false" outlineLevel="0" collapsed="false">
      <c r="A74" s="2" t="s">
        <v>87</v>
      </c>
      <c r="B74" s="2" t="s">
        <v>5</v>
      </c>
      <c r="C74" s="2" t="s">
        <v>21</v>
      </c>
      <c r="D74" s="2"/>
    </row>
    <row r="75" customFormat="false" ht="15" hidden="false" customHeight="false" outlineLevel="0" collapsed="false">
      <c r="A75" s="2" t="s">
        <v>88</v>
      </c>
      <c r="B75" s="2" t="s">
        <v>44</v>
      </c>
      <c r="C75" s="2" t="s">
        <v>14</v>
      </c>
      <c r="D75" s="2" t="n">
        <v>92</v>
      </c>
    </row>
    <row r="76" customFormat="false" ht="15" hidden="false" customHeight="false" outlineLevel="0" collapsed="false">
      <c r="A76" s="2" t="s">
        <v>89</v>
      </c>
      <c r="B76" s="2" t="s">
        <v>23</v>
      </c>
      <c r="C76" s="2" t="s">
        <v>37</v>
      </c>
      <c r="D76" s="2" t="n">
        <v>19</v>
      </c>
    </row>
    <row r="77" customFormat="false" ht="15" hidden="false" customHeight="false" outlineLevel="0" collapsed="false">
      <c r="A77" s="2" t="s">
        <v>90</v>
      </c>
      <c r="B77" s="2" t="s">
        <v>5</v>
      </c>
      <c r="C77" s="2" t="s">
        <v>6</v>
      </c>
      <c r="D77" s="2" t="n">
        <v>78</v>
      </c>
    </row>
    <row r="78" customFormat="false" ht="15" hidden="false" customHeight="false" outlineLevel="0" collapsed="false">
      <c r="A78" s="2" t="s">
        <v>74</v>
      </c>
      <c r="B78" s="2" t="s">
        <v>8</v>
      </c>
      <c r="C78" s="2" t="s">
        <v>21</v>
      </c>
      <c r="D78" s="2" t="n">
        <v>75</v>
      </c>
    </row>
    <row r="79" customFormat="false" ht="15" hidden="false" customHeight="false" outlineLevel="0" collapsed="false">
      <c r="A79" s="2" t="s">
        <v>91</v>
      </c>
      <c r="B79" s="2" t="s">
        <v>44</v>
      </c>
      <c r="C79" s="2" t="s">
        <v>37</v>
      </c>
      <c r="D79" s="2" t="n">
        <v>94</v>
      </c>
    </row>
    <row r="80" customFormat="false" ht="15" hidden="false" customHeight="false" outlineLevel="0" collapsed="false">
      <c r="A80" s="2" t="s">
        <v>92</v>
      </c>
      <c r="B80" s="2" t="s">
        <v>8</v>
      </c>
      <c r="C80" s="2" t="s">
        <v>26</v>
      </c>
      <c r="D80" s="2" t="n">
        <v>53</v>
      </c>
    </row>
    <row r="81" customFormat="false" ht="15" hidden="false" customHeight="false" outlineLevel="0" collapsed="false">
      <c r="A81" s="2" t="s">
        <v>93</v>
      </c>
      <c r="B81" s="2" t="s">
        <v>23</v>
      </c>
      <c r="C81" s="2" t="s">
        <v>14</v>
      </c>
      <c r="D81" s="2" t="n">
        <v>65</v>
      </c>
    </row>
    <row r="82" customFormat="false" ht="15" hidden="false" customHeight="false" outlineLevel="0" collapsed="false">
      <c r="A82" s="2" t="s">
        <v>94</v>
      </c>
      <c r="B82" s="2" t="s">
        <v>8</v>
      </c>
      <c r="C82" s="2" t="s">
        <v>26</v>
      </c>
      <c r="D82" s="2" t="n">
        <v>24</v>
      </c>
    </row>
    <row r="83" customFormat="false" ht="15" hidden="false" customHeight="false" outlineLevel="0" collapsed="false">
      <c r="A83" s="2" t="s">
        <v>95</v>
      </c>
      <c r="B83" s="2" t="s">
        <v>5</v>
      </c>
      <c r="C83" s="2" t="s">
        <v>37</v>
      </c>
      <c r="D83" s="2" t="n">
        <v>43</v>
      </c>
    </row>
    <row r="84" customFormat="false" ht="15" hidden="false" customHeight="false" outlineLevel="0" collapsed="false">
      <c r="A84" s="2" t="s">
        <v>96</v>
      </c>
      <c r="B84" s="2" t="s">
        <v>5</v>
      </c>
      <c r="C84" s="2" t="s">
        <v>37</v>
      </c>
      <c r="D84" s="2" t="n">
        <v>-5</v>
      </c>
    </row>
    <row r="85" customFormat="false" ht="15" hidden="false" customHeight="false" outlineLevel="0" collapsed="false">
      <c r="A85" s="2" t="s">
        <v>66</v>
      </c>
      <c r="B85" s="2" t="s">
        <v>44</v>
      </c>
      <c r="C85" s="2" t="s">
        <v>14</v>
      </c>
      <c r="D85" s="2" t="n">
        <v>18</v>
      </c>
    </row>
    <row r="86" customFormat="false" ht="15" hidden="false" customHeight="false" outlineLevel="0" collapsed="false">
      <c r="A86" s="2" t="s">
        <v>97</v>
      </c>
      <c r="B86" s="2" t="s">
        <v>23</v>
      </c>
      <c r="C86" s="2" t="s">
        <v>37</v>
      </c>
      <c r="D86" s="2" t="n">
        <v>8</v>
      </c>
    </row>
    <row r="87" customFormat="false" ht="15" hidden="false" customHeight="false" outlineLevel="0" collapsed="false">
      <c r="A87" s="2" t="s">
        <v>98</v>
      </c>
      <c r="B87" s="2" t="s">
        <v>8</v>
      </c>
      <c r="C87" s="2" t="s">
        <v>21</v>
      </c>
      <c r="D87" s="2" t="n">
        <v>51</v>
      </c>
    </row>
    <row r="88" customFormat="false" ht="15" hidden="false" customHeight="false" outlineLevel="0" collapsed="false">
      <c r="A88" s="2" t="s">
        <v>99</v>
      </c>
      <c r="B88" s="2" t="s">
        <v>23</v>
      </c>
      <c r="C88" s="2" t="s">
        <v>37</v>
      </c>
      <c r="D88" s="2" t="n">
        <v>53</v>
      </c>
    </row>
    <row r="89" customFormat="false" ht="15" hidden="false" customHeight="false" outlineLevel="0" collapsed="false">
      <c r="A89" s="2" t="s">
        <v>100</v>
      </c>
      <c r="B89" s="2" t="s">
        <v>44</v>
      </c>
      <c r="C89" s="2" t="s">
        <v>37</v>
      </c>
      <c r="D89" s="2" t="n">
        <v>32</v>
      </c>
    </row>
    <row r="90" customFormat="false" ht="15" hidden="false" customHeight="false" outlineLevel="0" collapsed="false">
      <c r="A90" s="2" t="s">
        <v>101</v>
      </c>
      <c r="B90" s="2" t="s">
        <v>8</v>
      </c>
      <c r="C90" s="2" t="s">
        <v>6</v>
      </c>
      <c r="D90" s="2" t="n">
        <v>28</v>
      </c>
    </row>
    <row r="91" customFormat="false" ht="15" hidden="false" customHeight="false" outlineLevel="0" collapsed="false">
      <c r="A91" s="2" t="s">
        <v>102</v>
      </c>
      <c r="B91" s="2" t="s">
        <v>8</v>
      </c>
      <c r="C91" s="2" t="s">
        <v>9</v>
      </c>
      <c r="D91" s="2" t="n">
        <v>15</v>
      </c>
    </row>
    <row r="92" customFormat="false" ht="15" hidden="false" customHeight="false" outlineLevel="0" collapsed="false">
      <c r="A92" s="2" t="s">
        <v>103</v>
      </c>
      <c r="B92" s="2" t="s">
        <v>8</v>
      </c>
      <c r="C92" s="2" t="s">
        <v>9</v>
      </c>
      <c r="D92" s="2" t="n">
        <v>76</v>
      </c>
    </row>
    <row r="93" customFormat="false" ht="15" hidden="false" customHeight="false" outlineLevel="0" collapsed="false">
      <c r="A93" s="2" t="s">
        <v>104</v>
      </c>
      <c r="B93" s="2" t="s">
        <v>23</v>
      </c>
      <c r="C93" s="2" t="s">
        <v>9</v>
      </c>
      <c r="D93" s="2" t="n">
        <v>57</v>
      </c>
    </row>
    <row r="94" customFormat="false" ht="15" hidden="false" customHeight="false" outlineLevel="0" collapsed="false">
      <c r="A94" s="2" t="s">
        <v>105</v>
      </c>
      <c r="B94" s="2" t="s">
        <v>18</v>
      </c>
      <c r="C94" s="2" t="s">
        <v>26</v>
      </c>
      <c r="D94" s="2" t="n">
        <v>50</v>
      </c>
    </row>
    <row r="95" customFormat="false" ht="15" hidden="false" customHeight="false" outlineLevel="0" collapsed="false">
      <c r="A95" s="2" t="s">
        <v>106</v>
      </c>
      <c r="B95" s="2" t="s">
        <v>23</v>
      </c>
      <c r="C95" s="2" t="s">
        <v>6</v>
      </c>
      <c r="D95" s="2" t="n">
        <v>76</v>
      </c>
    </row>
    <row r="96" customFormat="false" ht="15" hidden="false" customHeight="false" outlineLevel="0" collapsed="false">
      <c r="A96" s="2" t="s">
        <v>107</v>
      </c>
      <c r="B96" s="2" t="s">
        <v>23</v>
      </c>
      <c r="C96" s="2" t="s">
        <v>9</v>
      </c>
      <c r="D96" s="2"/>
    </row>
    <row r="97" customFormat="false" ht="15" hidden="false" customHeight="false" outlineLevel="0" collapsed="false">
      <c r="A97" s="2" t="s">
        <v>108</v>
      </c>
      <c r="B97" s="2" t="s">
        <v>18</v>
      </c>
      <c r="C97" s="2" t="s">
        <v>26</v>
      </c>
      <c r="D97" s="2" t="n">
        <v>19</v>
      </c>
    </row>
    <row r="98" customFormat="false" ht="15" hidden="false" customHeight="false" outlineLevel="0" collapsed="false">
      <c r="A98" s="2" t="s">
        <v>109</v>
      </c>
      <c r="B98" s="2" t="s">
        <v>5</v>
      </c>
      <c r="C98" s="2" t="s">
        <v>26</v>
      </c>
      <c r="D98" s="2" t="n">
        <v>40</v>
      </c>
    </row>
    <row r="99" customFormat="false" ht="15" hidden="false" customHeight="false" outlineLevel="0" collapsed="false">
      <c r="A99" s="2" t="s">
        <v>110</v>
      </c>
      <c r="B99" s="2" t="s">
        <v>18</v>
      </c>
      <c r="C99" s="2" t="s">
        <v>6</v>
      </c>
      <c r="D99" s="2" t="n">
        <v>57</v>
      </c>
    </row>
    <row r="100" customFormat="false" ht="15" hidden="false" customHeight="false" outlineLevel="0" collapsed="false">
      <c r="A100" s="2" t="s">
        <v>42</v>
      </c>
      <c r="B100" s="2" t="s">
        <v>8</v>
      </c>
      <c r="C100" s="2" t="s">
        <v>14</v>
      </c>
      <c r="D100" s="2" t="n">
        <v>1</v>
      </c>
    </row>
    <row r="101" customFormat="false" ht="15" hidden="false" customHeight="false" outlineLevel="0" collapsed="false">
      <c r="A101" s="2" t="s">
        <v>111</v>
      </c>
      <c r="B101" s="2" t="s">
        <v>23</v>
      </c>
      <c r="C101" s="2" t="s">
        <v>14</v>
      </c>
      <c r="D101" s="2" t="n">
        <v>68</v>
      </c>
    </row>
    <row r="102" customFormat="false" ht="15" hidden="false" customHeight="false" outlineLevel="0" collapsed="false">
      <c r="A102" s="2" t="s">
        <v>17</v>
      </c>
      <c r="B102" s="2" t="s">
        <v>18</v>
      </c>
      <c r="C102" s="2" t="s">
        <v>6</v>
      </c>
      <c r="D102" s="2" t="n">
        <v>71</v>
      </c>
    </row>
    <row r="103" customFormat="false" ht="15" hidden="false" customHeight="false" outlineLevel="0" collapsed="false">
      <c r="A103" s="2" t="s">
        <v>112</v>
      </c>
      <c r="B103" s="2" t="s">
        <v>44</v>
      </c>
      <c r="C103" s="2" t="s">
        <v>12</v>
      </c>
      <c r="D103" s="2" t="n">
        <v>44</v>
      </c>
    </row>
    <row r="104" customFormat="false" ht="15" hidden="false" customHeight="false" outlineLevel="0" collapsed="false">
      <c r="A104" s="2" t="s">
        <v>113</v>
      </c>
      <c r="B104" s="2" t="s">
        <v>18</v>
      </c>
      <c r="C104" s="2" t="s">
        <v>14</v>
      </c>
      <c r="D104" s="2" t="n">
        <v>31</v>
      </c>
    </row>
    <row r="105" customFormat="false" ht="15" hidden="false" customHeight="false" outlineLevel="0" collapsed="false">
      <c r="A105" s="2" t="s">
        <v>114</v>
      </c>
      <c r="B105" s="2" t="s">
        <v>8</v>
      </c>
      <c r="C105" s="2" t="s">
        <v>26</v>
      </c>
      <c r="D105" s="2" t="n">
        <v>22</v>
      </c>
    </row>
    <row r="106" customFormat="false" ht="15" hidden="false" customHeight="false" outlineLevel="0" collapsed="false">
      <c r="A106" s="2" t="s">
        <v>115</v>
      </c>
      <c r="B106" s="2" t="s">
        <v>8</v>
      </c>
      <c r="C106" s="2" t="s">
        <v>26</v>
      </c>
      <c r="D106" s="2" t="n">
        <v>50</v>
      </c>
    </row>
    <row r="107" customFormat="false" ht="15" hidden="false" customHeight="false" outlineLevel="0" collapsed="false">
      <c r="A107" s="2" t="s">
        <v>116</v>
      </c>
      <c r="B107" s="2" t="s">
        <v>5</v>
      </c>
      <c r="C107" s="2" t="s">
        <v>14</v>
      </c>
      <c r="D107" s="2" t="n">
        <v>11</v>
      </c>
    </row>
    <row r="108" customFormat="false" ht="15" hidden="false" customHeight="false" outlineLevel="0" collapsed="false">
      <c r="A108" s="2" t="s">
        <v>117</v>
      </c>
      <c r="B108" s="2" t="s">
        <v>5</v>
      </c>
      <c r="C108" s="2" t="s">
        <v>9</v>
      </c>
      <c r="D108" s="2" t="n">
        <v>31</v>
      </c>
    </row>
    <row r="109" customFormat="false" ht="15" hidden="false" customHeight="false" outlineLevel="0" collapsed="false">
      <c r="A109" s="2" t="s">
        <v>118</v>
      </c>
      <c r="B109" s="2" t="s">
        <v>44</v>
      </c>
      <c r="C109" s="2" t="s">
        <v>12</v>
      </c>
      <c r="D109" s="2"/>
    </row>
    <row r="110" customFormat="false" ht="15" hidden="false" customHeight="false" outlineLevel="0" collapsed="false">
      <c r="A110" s="2" t="s">
        <v>119</v>
      </c>
      <c r="B110" s="2" t="s">
        <v>8</v>
      </c>
      <c r="C110" s="2" t="s">
        <v>26</v>
      </c>
      <c r="D110" s="2" t="n">
        <v>20</v>
      </c>
    </row>
    <row r="111" customFormat="false" ht="15" hidden="false" customHeight="false" outlineLevel="0" collapsed="false">
      <c r="A111" s="2" t="s">
        <v>120</v>
      </c>
      <c r="B111" s="2" t="s">
        <v>18</v>
      </c>
      <c r="C111" s="2" t="s">
        <v>6</v>
      </c>
      <c r="D111" s="2"/>
    </row>
    <row r="112" customFormat="false" ht="15" hidden="false" customHeight="false" outlineLevel="0" collapsed="false">
      <c r="A112" s="2" t="s">
        <v>121</v>
      </c>
      <c r="B112" s="2" t="s">
        <v>44</v>
      </c>
      <c r="C112" s="2" t="s">
        <v>12</v>
      </c>
      <c r="D112" s="2" t="n">
        <v>73</v>
      </c>
    </row>
    <row r="113" customFormat="false" ht="15" hidden="false" customHeight="false" outlineLevel="0" collapsed="false">
      <c r="A113" s="2" t="s">
        <v>122</v>
      </c>
      <c r="B113" s="2" t="s">
        <v>5</v>
      </c>
      <c r="C113" s="2" t="s">
        <v>6</v>
      </c>
      <c r="D113" s="2" t="n">
        <v>77</v>
      </c>
    </row>
    <row r="114" customFormat="false" ht="15" hidden="false" customHeight="false" outlineLevel="0" collapsed="false">
      <c r="A114" s="2" t="s">
        <v>123</v>
      </c>
      <c r="B114" s="2" t="s">
        <v>8</v>
      </c>
      <c r="C114" s="2" t="s">
        <v>26</v>
      </c>
      <c r="D114" s="2" t="n">
        <v>79</v>
      </c>
    </row>
    <row r="115" customFormat="false" ht="15" hidden="false" customHeight="false" outlineLevel="0" collapsed="false">
      <c r="A115" s="2" t="s">
        <v>110</v>
      </c>
      <c r="B115" s="2" t="s">
        <v>18</v>
      </c>
      <c r="C115" s="2" t="s">
        <v>6</v>
      </c>
      <c r="D115" s="2" t="n">
        <v>57</v>
      </c>
    </row>
    <row r="116" customFormat="false" ht="15" hidden="false" customHeight="false" outlineLevel="0" collapsed="false">
      <c r="A116" s="2" t="s">
        <v>124</v>
      </c>
      <c r="B116" s="2" t="s">
        <v>8</v>
      </c>
      <c r="C116" s="2" t="s">
        <v>6</v>
      </c>
      <c r="D116" s="2" t="n">
        <v>5</v>
      </c>
    </row>
    <row r="117" customFormat="false" ht="15" hidden="false" customHeight="false" outlineLevel="0" collapsed="false">
      <c r="A117" s="2" t="s">
        <v>125</v>
      </c>
      <c r="B117" s="2" t="s">
        <v>8</v>
      </c>
      <c r="C117" s="2" t="s">
        <v>12</v>
      </c>
      <c r="D117" s="2" t="n">
        <v>69</v>
      </c>
    </row>
    <row r="118" customFormat="false" ht="15" hidden="false" customHeight="false" outlineLevel="0" collapsed="false">
      <c r="A118" s="2" t="s">
        <v>126</v>
      </c>
      <c r="B118" s="2" t="s">
        <v>5</v>
      </c>
      <c r="C118" s="2" t="s">
        <v>12</v>
      </c>
      <c r="D118" s="2" t="n">
        <v>44</v>
      </c>
    </row>
    <row r="119" customFormat="false" ht="15" hidden="false" customHeight="false" outlineLevel="0" collapsed="false">
      <c r="A119" s="2" t="s">
        <v>127</v>
      </c>
      <c r="B119" s="2" t="s">
        <v>18</v>
      </c>
      <c r="C119" s="2" t="s">
        <v>26</v>
      </c>
      <c r="D119" s="2" t="n">
        <v>43</v>
      </c>
    </row>
    <row r="120" customFormat="false" ht="15" hidden="false" customHeight="false" outlineLevel="0" collapsed="false">
      <c r="A120" s="2" t="s">
        <v>128</v>
      </c>
      <c r="B120" s="2" t="s">
        <v>8</v>
      </c>
      <c r="C120" s="2" t="s">
        <v>12</v>
      </c>
      <c r="D120" s="2" t="n">
        <v>31</v>
      </c>
    </row>
    <row r="121" customFormat="false" ht="15" hidden="false" customHeight="false" outlineLevel="0" collapsed="false">
      <c r="A121" s="2" t="s">
        <v>129</v>
      </c>
      <c r="B121" s="2" t="s">
        <v>23</v>
      </c>
      <c r="C121" s="2" t="s">
        <v>9</v>
      </c>
      <c r="D121" s="2" t="n">
        <v>54</v>
      </c>
    </row>
    <row r="122" customFormat="false" ht="15" hidden="false" customHeight="false" outlineLevel="0" collapsed="false">
      <c r="A122" s="2" t="s">
        <v>130</v>
      </c>
      <c r="B122" s="2" t="s">
        <v>18</v>
      </c>
      <c r="C122" s="2" t="s">
        <v>12</v>
      </c>
      <c r="D122" s="2" t="n">
        <v>15</v>
      </c>
    </row>
    <row r="123" customFormat="false" ht="15" hidden="false" customHeight="false" outlineLevel="0" collapsed="false">
      <c r="A123" s="2" t="s">
        <v>131</v>
      </c>
      <c r="B123" s="2" t="s">
        <v>18</v>
      </c>
      <c r="C123" s="2" t="s">
        <v>26</v>
      </c>
      <c r="D123" s="2" t="n">
        <v>40</v>
      </c>
    </row>
    <row r="124" customFormat="false" ht="15" hidden="false" customHeight="false" outlineLevel="0" collapsed="false">
      <c r="A124" s="2" t="s">
        <v>132</v>
      </c>
      <c r="B124" s="2" t="s">
        <v>23</v>
      </c>
      <c r="C124" s="2" t="s">
        <v>14</v>
      </c>
      <c r="D124" s="2" t="n">
        <v>55</v>
      </c>
    </row>
    <row r="125" customFormat="false" ht="15" hidden="false" customHeight="false" outlineLevel="0" collapsed="false">
      <c r="A125" s="2" t="s">
        <v>133</v>
      </c>
      <c r="B125" s="2" t="s">
        <v>23</v>
      </c>
      <c r="C125" s="2" t="s">
        <v>12</v>
      </c>
      <c r="D125" s="2" t="n">
        <v>45</v>
      </c>
    </row>
    <row r="126" customFormat="false" ht="15" hidden="false" customHeight="false" outlineLevel="0" collapsed="false">
      <c r="A126" s="2" t="s">
        <v>134</v>
      </c>
      <c r="B126" s="2" t="s">
        <v>23</v>
      </c>
      <c r="C126" s="2" t="s">
        <v>12</v>
      </c>
      <c r="D126" s="2" t="n">
        <v>9</v>
      </c>
    </row>
    <row r="127" customFormat="false" ht="15" hidden="false" customHeight="false" outlineLevel="0" collapsed="false">
      <c r="A127" s="2" t="s">
        <v>135</v>
      </c>
      <c r="B127" s="2" t="s">
        <v>5</v>
      </c>
      <c r="C127" s="2" t="s">
        <v>6</v>
      </c>
      <c r="D127" s="2" t="n">
        <v>93</v>
      </c>
    </row>
    <row r="128" customFormat="false" ht="15" hidden="false" customHeight="false" outlineLevel="0" collapsed="false">
      <c r="A128" s="2" t="s">
        <v>136</v>
      </c>
      <c r="B128" s="2" t="s">
        <v>18</v>
      </c>
      <c r="C128" s="2" t="s">
        <v>14</v>
      </c>
      <c r="D128" s="2" t="n">
        <v>8</v>
      </c>
    </row>
    <row r="129" customFormat="false" ht="15" hidden="false" customHeight="false" outlineLevel="0" collapsed="false">
      <c r="A129" s="2" t="s">
        <v>137</v>
      </c>
      <c r="B129" s="2" t="s">
        <v>8</v>
      </c>
      <c r="C129" s="2" t="s">
        <v>14</v>
      </c>
      <c r="D129" s="2" t="n">
        <v>71</v>
      </c>
    </row>
    <row r="130" customFormat="false" ht="15" hidden="false" customHeight="false" outlineLevel="0" collapsed="false">
      <c r="A130" s="2" t="s">
        <v>113</v>
      </c>
      <c r="B130" s="2" t="s">
        <v>18</v>
      </c>
      <c r="C130" s="2" t="s">
        <v>14</v>
      </c>
      <c r="D130" s="2" t="n">
        <v>31</v>
      </c>
    </row>
    <row r="131" customFormat="false" ht="15" hidden="false" customHeight="false" outlineLevel="0" collapsed="false">
      <c r="A131" s="2" t="s">
        <v>138</v>
      </c>
      <c r="B131" s="2" t="s">
        <v>8</v>
      </c>
      <c r="C131" s="2" t="s">
        <v>21</v>
      </c>
      <c r="D131" s="2" t="n">
        <v>57</v>
      </c>
    </row>
    <row r="132" customFormat="false" ht="15" hidden="false" customHeight="false" outlineLevel="0" collapsed="false">
      <c r="A132" s="2" t="s">
        <v>139</v>
      </c>
      <c r="B132" s="2" t="s">
        <v>23</v>
      </c>
      <c r="C132" s="2" t="s">
        <v>12</v>
      </c>
      <c r="D132" s="2" t="n">
        <v>20</v>
      </c>
    </row>
    <row r="133" customFormat="false" ht="15" hidden="false" customHeight="false" outlineLevel="0" collapsed="false">
      <c r="A133" s="2" t="s">
        <v>118</v>
      </c>
      <c r="B133" s="2" t="s">
        <v>44</v>
      </c>
      <c r="C133" s="2" t="s">
        <v>12</v>
      </c>
      <c r="D133" s="2"/>
    </row>
    <row r="134" customFormat="false" ht="15" hidden="false" customHeight="false" outlineLevel="0" collapsed="false">
      <c r="A134" s="2" t="s">
        <v>140</v>
      </c>
      <c r="B134" s="2" t="s">
        <v>23</v>
      </c>
      <c r="C134" s="2" t="s">
        <v>6</v>
      </c>
      <c r="D134" s="2" t="n">
        <v>74</v>
      </c>
    </row>
    <row r="135" customFormat="false" ht="15" hidden="false" customHeight="false" outlineLevel="0" collapsed="false">
      <c r="A135" s="2" t="s">
        <v>141</v>
      </c>
      <c r="B135" s="2" t="s">
        <v>8</v>
      </c>
      <c r="C135" s="2" t="s">
        <v>6</v>
      </c>
      <c r="D135" s="2" t="n">
        <v>64</v>
      </c>
    </row>
    <row r="136" customFormat="false" ht="15" hidden="false" customHeight="false" outlineLevel="0" collapsed="false">
      <c r="A136" s="2" t="s">
        <v>142</v>
      </c>
      <c r="B136" s="2" t="s">
        <v>18</v>
      </c>
      <c r="C136" s="2" t="s">
        <v>9</v>
      </c>
      <c r="D136" s="2" t="n">
        <v>40</v>
      </c>
    </row>
    <row r="137" customFormat="false" ht="15" hidden="false" customHeight="false" outlineLevel="0" collapsed="false">
      <c r="A137" s="2" t="s">
        <v>19</v>
      </c>
      <c r="B137" s="2" t="s">
        <v>18</v>
      </c>
      <c r="C137" s="2" t="s">
        <v>9</v>
      </c>
      <c r="D137" s="2" t="n">
        <v>83</v>
      </c>
    </row>
    <row r="138" customFormat="false" ht="15" hidden="false" customHeight="false" outlineLevel="0" collapsed="false">
      <c r="A138" s="2" t="s">
        <v>143</v>
      </c>
      <c r="B138" s="2" t="s">
        <v>44</v>
      </c>
      <c r="C138" s="2" t="s">
        <v>14</v>
      </c>
      <c r="D138" s="2" t="n">
        <v>70</v>
      </c>
    </row>
    <row r="139" customFormat="false" ht="15" hidden="false" customHeight="false" outlineLevel="0" collapsed="false">
      <c r="A139" s="2" t="s">
        <v>144</v>
      </c>
      <c r="B139" s="2" t="s">
        <v>18</v>
      </c>
      <c r="C139" s="2" t="s">
        <v>6</v>
      </c>
      <c r="D139" s="2"/>
    </row>
    <row r="140" customFormat="false" ht="15" hidden="false" customHeight="false" outlineLevel="0" collapsed="false">
      <c r="A140" s="2" t="s">
        <v>122</v>
      </c>
      <c r="B140" s="2" t="s">
        <v>5</v>
      </c>
      <c r="C140" s="2" t="s">
        <v>6</v>
      </c>
      <c r="D140" s="2" t="n">
        <v>77</v>
      </c>
    </row>
    <row r="141" customFormat="false" ht="15" hidden="false" customHeight="false" outlineLevel="0" collapsed="false">
      <c r="A141" s="2" t="s">
        <v>70</v>
      </c>
      <c r="B141" s="2" t="s">
        <v>18</v>
      </c>
      <c r="C141" s="2" t="s">
        <v>21</v>
      </c>
      <c r="D141" s="2" t="n">
        <v>0</v>
      </c>
    </row>
    <row r="142" customFormat="false" ht="15" hidden="false" customHeight="false" outlineLevel="0" collapsed="false">
      <c r="A142" s="2" t="s">
        <v>145</v>
      </c>
      <c r="B142" s="2" t="s">
        <v>8</v>
      </c>
      <c r="C142" s="2" t="s">
        <v>12</v>
      </c>
      <c r="D142" s="2" t="n">
        <v>82</v>
      </c>
    </row>
    <row r="143" customFormat="false" ht="15" hidden="false" customHeight="false" outlineLevel="0" collapsed="false">
      <c r="A143" s="2" t="s">
        <v>132</v>
      </c>
      <c r="B143" s="2" t="s">
        <v>23</v>
      </c>
      <c r="C143" s="2" t="s">
        <v>14</v>
      </c>
      <c r="D143" s="2" t="n">
        <v>55</v>
      </c>
    </row>
    <row r="144" customFormat="false" ht="15" hidden="false" customHeight="false" outlineLevel="0" collapsed="false">
      <c r="A144" s="2" t="s">
        <v>146</v>
      </c>
      <c r="B144" s="2" t="s">
        <v>23</v>
      </c>
      <c r="C144" s="2" t="s">
        <v>6</v>
      </c>
      <c r="D144" s="2" t="n">
        <v>78</v>
      </c>
    </row>
    <row r="145" customFormat="false" ht="15" hidden="false" customHeight="false" outlineLevel="0" collapsed="false">
      <c r="A145" s="2" t="s">
        <v>147</v>
      </c>
      <c r="B145" s="2" t="s">
        <v>23</v>
      </c>
      <c r="C145" s="2" t="s">
        <v>9</v>
      </c>
      <c r="D145" s="2" t="n">
        <v>7</v>
      </c>
    </row>
    <row r="146" customFormat="false" ht="15" hidden="false" customHeight="false" outlineLevel="0" collapsed="false">
      <c r="A146" s="2" t="s">
        <v>101</v>
      </c>
      <c r="B146" s="2" t="s">
        <v>8</v>
      </c>
      <c r="C146" s="2" t="s">
        <v>6</v>
      </c>
      <c r="D146" s="2" t="n">
        <v>28</v>
      </c>
    </row>
    <row r="147" customFormat="false" ht="15" hidden="false" customHeight="false" outlineLevel="0" collapsed="false">
      <c r="A147" s="2" t="s">
        <v>148</v>
      </c>
      <c r="B147" s="2" t="s">
        <v>5</v>
      </c>
      <c r="C147" s="2" t="s">
        <v>21</v>
      </c>
      <c r="D147" s="2"/>
    </row>
    <row r="148" customFormat="false" ht="15" hidden="false" customHeight="false" outlineLevel="0" collapsed="false">
      <c r="A148" s="2" t="s">
        <v>149</v>
      </c>
      <c r="B148" s="2" t="s">
        <v>18</v>
      </c>
      <c r="C148" s="2" t="s">
        <v>6</v>
      </c>
      <c r="D148" s="2" t="n">
        <v>71</v>
      </c>
    </row>
    <row r="149" customFormat="false" ht="15" hidden="false" customHeight="false" outlineLevel="0" collapsed="false">
      <c r="A149" s="2" t="s">
        <v>150</v>
      </c>
      <c r="B149" s="2" t="s">
        <v>44</v>
      </c>
      <c r="C149" s="2" t="s">
        <v>6</v>
      </c>
      <c r="D149" s="2" t="n">
        <v>77</v>
      </c>
    </row>
    <row r="150" customFormat="false" ht="15" hidden="false" customHeight="false" outlineLevel="0" collapsed="false">
      <c r="A150" s="2" t="s">
        <v>151</v>
      </c>
      <c r="B150" s="2" t="s">
        <v>44</v>
      </c>
      <c r="C150" s="2" t="s">
        <v>6</v>
      </c>
      <c r="D150" s="2" t="n">
        <v>31</v>
      </c>
    </row>
    <row r="151" customFormat="false" ht="15" hidden="false" customHeight="false" outlineLevel="0" collapsed="false">
      <c r="A151" s="2" t="s">
        <v>152</v>
      </c>
      <c r="B151" s="2" t="s">
        <v>44</v>
      </c>
      <c r="C151" s="2" t="s">
        <v>9</v>
      </c>
      <c r="D151" s="2" t="n">
        <v>46</v>
      </c>
    </row>
    <row r="152" customFormat="false" ht="15" hidden="false" customHeight="false" outlineLevel="0" collapsed="false">
      <c r="A152" s="2" t="s">
        <v>153</v>
      </c>
      <c r="B152" s="2" t="s">
        <v>18</v>
      </c>
      <c r="C152" s="2" t="s">
        <v>14</v>
      </c>
      <c r="D152" s="2" t="n">
        <v>19</v>
      </c>
    </row>
    <row r="153" customFormat="false" ht="15" hidden="false" customHeight="false" outlineLevel="0" collapsed="false">
      <c r="A153" s="2" t="s">
        <v>154</v>
      </c>
      <c r="B153" s="2" t="s">
        <v>5</v>
      </c>
      <c r="C153" s="2" t="s">
        <v>14</v>
      </c>
      <c r="D153" s="2" t="n">
        <v>27</v>
      </c>
    </row>
    <row r="154" customFormat="false" ht="15" hidden="false" customHeight="false" outlineLevel="0" collapsed="false">
      <c r="A154" s="2" t="s">
        <v>148</v>
      </c>
      <c r="B154" s="2" t="s">
        <v>5</v>
      </c>
      <c r="C154" s="2" t="s">
        <v>21</v>
      </c>
      <c r="D154" s="2"/>
    </row>
    <row r="155" customFormat="false" ht="15" hidden="false" customHeight="false" outlineLevel="0" collapsed="false">
      <c r="A155" s="2" t="s">
        <v>155</v>
      </c>
      <c r="B155" s="2" t="s">
        <v>18</v>
      </c>
      <c r="C155" s="2" t="s">
        <v>9</v>
      </c>
      <c r="D155" s="2" t="n">
        <v>65</v>
      </c>
    </row>
    <row r="156" customFormat="false" ht="15" hidden="false" customHeight="false" outlineLevel="0" collapsed="false">
      <c r="A156" s="2" t="s">
        <v>156</v>
      </c>
      <c r="B156" s="2" t="s">
        <v>5</v>
      </c>
      <c r="C156" s="2" t="s">
        <v>6</v>
      </c>
      <c r="D156" s="2" t="n">
        <v>91</v>
      </c>
    </row>
    <row r="157" customFormat="false" ht="15" hidden="false" customHeight="false" outlineLevel="0" collapsed="false">
      <c r="A157" s="2" t="s">
        <v>157</v>
      </c>
      <c r="B157" s="2" t="s">
        <v>5</v>
      </c>
      <c r="C157" s="2" t="s">
        <v>21</v>
      </c>
      <c r="D157" s="2"/>
    </row>
    <row r="158" customFormat="false" ht="15" hidden="false" customHeight="false" outlineLevel="0" collapsed="false">
      <c r="A158" s="2" t="s">
        <v>158</v>
      </c>
      <c r="B158" s="2" t="s">
        <v>23</v>
      </c>
      <c r="C158" s="2" t="s">
        <v>14</v>
      </c>
      <c r="D158" s="2" t="n">
        <v>0</v>
      </c>
    </row>
    <row r="159" customFormat="false" ht="15" hidden="false" customHeight="false" outlineLevel="0" collapsed="false">
      <c r="A159" s="2" t="s">
        <v>159</v>
      </c>
      <c r="B159" s="2" t="s">
        <v>8</v>
      </c>
      <c r="C159" s="2" t="s">
        <v>9</v>
      </c>
      <c r="D159" s="2" t="n">
        <v>59</v>
      </c>
    </row>
    <row r="160" customFormat="false" ht="15" hidden="false" customHeight="false" outlineLevel="0" collapsed="false">
      <c r="A160" s="2" t="s">
        <v>160</v>
      </c>
      <c r="B160" s="2" t="s">
        <v>18</v>
      </c>
      <c r="C160" s="2" t="s">
        <v>26</v>
      </c>
      <c r="D160" s="2" t="n">
        <v>74</v>
      </c>
    </row>
    <row r="161" customFormat="false" ht="15" hidden="false" customHeight="false" outlineLevel="0" collapsed="false">
      <c r="A161" s="2" t="s">
        <v>65</v>
      </c>
      <c r="B161" s="2" t="s">
        <v>5</v>
      </c>
      <c r="C161" s="2" t="s">
        <v>37</v>
      </c>
      <c r="D161" s="2" t="n">
        <v>43</v>
      </c>
    </row>
    <row r="162" customFormat="false" ht="15" hidden="false" customHeight="false" outlineLevel="0" collapsed="false">
      <c r="A162" s="2" t="s">
        <v>161</v>
      </c>
      <c r="B162" s="2" t="s">
        <v>5</v>
      </c>
      <c r="C162" s="2" t="s">
        <v>26</v>
      </c>
      <c r="D162" s="2" t="n">
        <v>70</v>
      </c>
    </row>
    <row r="163" customFormat="false" ht="15" hidden="false" customHeight="false" outlineLevel="0" collapsed="false">
      <c r="A163" s="2" t="s">
        <v>162</v>
      </c>
      <c r="B163" s="2" t="s">
        <v>18</v>
      </c>
      <c r="C163" s="2" t="s">
        <v>26</v>
      </c>
      <c r="D163" s="2" t="n">
        <v>6</v>
      </c>
    </row>
    <row r="164" customFormat="false" ht="15" hidden="false" customHeight="false" outlineLevel="0" collapsed="false">
      <c r="A164" s="2" t="s">
        <v>163</v>
      </c>
      <c r="B164" s="2" t="s">
        <v>23</v>
      </c>
      <c r="C164" s="2" t="s">
        <v>14</v>
      </c>
      <c r="D164" s="2" t="n">
        <v>26</v>
      </c>
    </row>
    <row r="165" customFormat="false" ht="15" hidden="false" customHeight="false" outlineLevel="0" collapsed="false">
      <c r="A165" s="2" t="s">
        <v>164</v>
      </c>
      <c r="B165" s="2" t="s">
        <v>18</v>
      </c>
      <c r="C165" s="2" t="s">
        <v>37</v>
      </c>
      <c r="D165" s="2" t="n">
        <v>68</v>
      </c>
    </row>
    <row r="166" customFormat="false" ht="15" hidden="false" customHeight="false" outlineLevel="0" collapsed="false">
      <c r="A166" s="2" t="s">
        <v>165</v>
      </c>
      <c r="B166" s="2" t="s">
        <v>5</v>
      </c>
      <c r="C166" s="2" t="s">
        <v>9</v>
      </c>
      <c r="D166" s="2" t="n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3" t="s">
        <v>166</v>
      </c>
    </row>
    <row r="3" customFormat="false" ht="15" hidden="false" customHeight="false" outlineLevel="0" collapsed="false">
      <c r="A3" s="4" t="str">
        <f aca="false">'Dirty Data'!A2</f>
        <v>D0093</v>
      </c>
      <c r="B3" s="4" t="str">
        <f aca="false">TRIM(PROPER('Dirty Data'!B2))</f>
        <v>Highland</v>
      </c>
      <c r="C3" s="4" t="str">
        <f aca="false">_xlfn.IFS(OR('Dirty Data'!C2="M",'Dirty Data'!C2="m",'Dirty Data'!C2="Male",'Dirty Data'!C2="male"),"Male",OR('Dirty Data'!C2="F",'Dirty Data'!C2="f",'Dirty Data'!C2="Female",'Dirty Data'!C2="female",'Dirty Data'!C2="Femle"),"Female",TRUE(),"Unrecognized")</f>
        <v>Male</v>
      </c>
      <c r="D3" s="4" t="n">
        <f aca="false">'Dirty Data'!D2</f>
        <v>24</v>
      </c>
      <c r="E3" s="4" t="str">
        <f aca="false">_xlfn.IFS(D3="","Missing",D3&lt;0,"Invalid",D3&gt;120,"Invalid",TRUE(),"Valid")</f>
        <v>Valid</v>
      </c>
      <c r="F3" s="4" t="str">
        <f aca="false">IF(COUNTIFS('Dirty Data'!$B$2:$B$166,'Dirty Data'!B2,'Dirty Data'!$C$2:$C$166,'Dirty Data'!C2,'Dirty Data'!$D$2:$D$166,'Dirty Data'!D2)&gt;1,"Possible Duplicate","Unique")</f>
        <v>Unique</v>
      </c>
    </row>
    <row r="4" customFormat="false" ht="15" hidden="false" customHeight="false" outlineLevel="0" collapsed="false">
      <c r="A4" s="2" t="str">
        <f aca="false">'Dirty Data'!A3</f>
        <v>D0080</v>
      </c>
      <c r="B4" s="2" t="str">
        <f aca="false">TRIM(PROPER('Dirty Data'!B3))</f>
        <v>Northgate</v>
      </c>
      <c r="C4" s="2" t="str">
        <f aca="false">_xlfn.IFS(OR('Dirty Data'!C3="M",'Dirty Data'!C3="m",'Dirty Data'!C3="Male",'Dirty Data'!C3="male"),"Male",OR('Dirty Data'!C3="F",'Dirty Data'!C3="f",'Dirty Data'!C3="Female",'Dirty Data'!C3="female",'Dirty Data'!C3="Femle"),"Female",TRUE(),"Unrecognized")</f>
        <v>Female</v>
      </c>
      <c r="D4" s="2" t="n">
        <f aca="false">'Dirty Data'!D3</f>
        <v>46</v>
      </c>
      <c r="E4" s="2" t="str">
        <f aca="false">_xlfn.IFS(D4="","Missing",D4&lt;0,"Invalid",D4&gt;120,"Invalid",TRUE(),"Valid")</f>
        <v>Valid</v>
      </c>
      <c r="F4" s="2" t="str">
        <f aca="false">IF(COUNTIFS('Dirty Data'!$B$2:$B$166,'Dirty Data'!B3,'Dirty Data'!$C$2:$C$166,'Dirty Data'!C3,'Dirty Data'!$D$2:$D$166,'Dirty Data'!D3)&gt;1,"Possible Duplicate","Unique")</f>
        <v>Unique</v>
      </c>
    </row>
    <row r="5" customFormat="false" ht="15" hidden="false" customHeight="false" outlineLevel="0" collapsed="false">
      <c r="A5" s="2" t="str">
        <f aca="false">'Dirty Data'!A4</f>
        <v>D0112</v>
      </c>
      <c r="B5" s="2" t="str">
        <f aca="false">TRIM(PROPER('Dirty Data'!B4))</f>
        <v>Northgate</v>
      </c>
      <c r="C5" s="2" t="str">
        <f aca="false">_xlfn.IFS(OR('Dirty Data'!C4="M",'Dirty Data'!C4="m",'Dirty Data'!C4="Male",'Dirty Data'!C4="male"),"Male",OR('Dirty Data'!C4="F",'Dirty Data'!C4="f",'Dirty Data'!C4="Female",'Dirty Data'!C4="female",'Dirty Data'!C4="Femle"),"Female",TRUE(),"Unrecognized")</f>
        <v>Female</v>
      </c>
      <c r="D5" s="2" t="n">
        <f aca="false">'Dirty Data'!D4</f>
        <v>70</v>
      </c>
      <c r="E5" s="2" t="str">
        <f aca="false">_xlfn.IFS(D5="","Missing",D5&lt;0,"Invalid",D5&gt;120,"Invalid",TRUE(),"Valid")</f>
        <v>Valid</v>
      </c>
      <c r="F5" s="2" t="str">
        <f aca="false">IF(COUNTIFS('Dirty Data'!$B$2:$B$166,'Dirty Data'!B4,'Dirty Data'!$C$2:$C$166,'Dirty Data'!C4,'Dirty Data'!$D$2:$D$166,'Dirty Data'!D4)&gt;1,"Possible Duplicate","Unique")</f>
        <v>Unique</v>
      </c>
    </row>
    <row r="6" customFormat="false" ht="15" hidden="false" customHeight="false" outlineLevel="0" collapsed="false">
      <c r="A6" s="2" t="str">
        <f aca="false">'Dirty Data'!A5</f>
        <v>D0111</v>
      </c>
      <c r="B6" s="2" t="str">
        <f aca="false">TRIM(PROPER('Dirty Data'!B5))</f>
        <v>Highland</v>
      </c>
      <c r="C6" s="2" t="str">
        <f aca="false">_xlfn.IFS(OR('Dirty Data'!C5="M",'Dirty Data'!C5="m",'Dirty Data'!C5="Male",'Dirty Data'!C5="male"),"Male",OR('Dirty Data'!C5="F",'Dirty Data'!C5="f",'Dirty Data'!C5="Female",'Dirty Data'!C5="female",'Dirty Data'!C5="Femle"),"Female",TRUE(),"Unrecognized")</f>
        <v>Female</v>
      </c>
      <c r="D6" s="2" t="n">
        <f aca="false">'Dirty Data'!D5</f>
        <v>0</v>
      </c>
      <c r="E6" s="2" t="str">
        <f aca="false">_xlfn.IFS(D6="","Missing",D6&lt;0,"Invalid",D6&gt;120,"Invalid",TRUE(),"Valid")</f>
        <v>Missing</v>
      </c>
      <c r="F6" s="2" t="str">
        <f aca="false">IF(COUNTIFS('Dirty Data'!$B$2:$B$166,'Dirty Data'!B5,'Dirty Data'!$C$2:$C$166,'Dirty Data'!C5,'Dirty Data'!$D$2:$D$166,'Dirty Data'!D5)&gt;1,"Possible Duplicate","Unique")</f>
        <v>Unique</v>
      </c>
    </row>
    <row r="7" customFormat="false" ht="15" hidden="false" customHeight="false" outlineLevel="0" collapsed="false">
      <c r="A7" s="2" t="str">
        <f aca="false">'Dirty Data'!A6</f>
        <v>D0116</v>
      </c>
      <c r="B7" s="2" t="str">
        <f aca="false">TRIM(PROPER('Dirty Data'!B6))</f>
        <v>Northgate</v>
      </c>
      <c r="C7" s="2" t="str">
        <f aca="false">_xlfn.IFS(OR('Dirty Data'!C6="M",'Dirty Data'!C6="m",'Dirty Data'!C6="Male",'Dirty Data'!C6="male"),"Male",OR('Dirty Data'!C6="F",'Dirty Data'!C6="f",'Dirty Data'!C6="Female",'Dirty Data'!C6="female",'Dirty Data'!C6="Femle"),"Female",TRUE(),"Unrecognized")</f>
        <v>Male</v>
      </c>
      <c r="D7" s="2" t="n">
        <f aca="false">'Dirty Data'!D6</f>
        <v>32</v>
      </c>
      <c r="E7" s="2" t="str">
        <f aca="false">_xlfn.IFS(D7="","Missing",D7&lt;0,"Invalid",D7&gt;120,"Invalid",TRUE(),"Valid")</f>
        <v>Valid</v>
      </c>
      <c r="F7" s="2" t="str">
        <f aca="false">IF(COUNTIFS('Dirty Data'!$B$2:$B$166,'Dirty Data'!B6,'Dirty Data'!$C$2:$C$166,'Dirty Data'!C6,'Dirty Data'!$D$2:$D$166,'Dirty Data'!D6)&gt;1,"Possible Duplicate","Unique")</f>
        <v>Unique</v>
      </c>
    </row>
    <row r="8" customFormat="false" ht="15" hidden="false" customHeight="false" outlineLevel="0" collapsed="false">
      <c r="A8" s="2" t="str">
        <f aca="false">'Dirty Data'!A7</f>
        <v>D0050</v>
      </c>
      <c r="B8" s="2" t="str">
        <f aca="false">TRIM(PROPER('Dirty Data'!B7))</f>
        <v>Highland</v>
      </c>
      <c r="C8" s="2" t="str">
        <f aca="false">_xlfn.IFS(OR('Dirty Data'!C7="M",'Dirty Data'!C7="m",'Dirty Data'!C7="Male",'Dirty Data'!C7="male"),"Male",OR('Dirty Data'!C7="F",'Dirty Data'!C7="f",'Dirty Data'!C7="Female",'Dirty Data'!C7="female",'Dirty Data'!C7="Femle"),"Female",TRUE(),"Unrecognized")</f>
        <v>Male</v>
      </c>
      <c r="D8" s="2" t="n">
        <f aca="false">'Dirty Data'!D7</f>
        <v>87</v>
      </c>
      <c r="E8" s="2" t="str">
        <f aca="false">_xlfn.IFS(D8="","Missing",D8&lt;0,"Invalid",D8&gt;120,"Invalid",TRUE(),"Valid")</f>
        <v>Valid</v>
      </c>
      <c r="F8" s="2" t="str">
        <f aca="false">IF(COUNTIFS('Dirty Data'!$B$2:$B$166,'Dirty Data'!B7,'Dirty Data'!$C$2:$C$166,'Dirty Data'!C7,'Dirty Data'!$D$2:$D$166,'Dirty Data'!D7)&gt;1,"Possible Duplicate","Unique")</f>
        <v>Unique</v>
      </c>
    </row>
    <row r="9" customFormat="false" ht="15" hidden="false" customHeight="false" outlineLevel="0" collapsed="false">
      <c r="A9" s="2" t="str">
        <f aca="false">'Dirty Data'!A8</f>
        <v>D0124</v>
      </c>
      <c r="B9" s="2" t="str">
        <f aca="false">TRIM(PROPER('Dirty Data'!B8))</f>
        <v>Northgate</v>
      </c>
      <c r="C9" s="2" t="str">
        <f aca="false">_xlfn.IFS(OR('Dirty Data'!C8="M",'Dirty Data'!C8="m",'Dirty Data'!C8="Male",'Dirty Data'!C8="male"),"Male",OR('Dirty Data'!C8="F",'Dirty Data'!C8="f",'Dirty Data'!C8="Female",'Dirty Data'!C8="female",'Dirty Data'!C8="Femle"),"Female",TRUE(),"Unrecognized")</f>
        <v>Female</v>
      </c>
      <c r="D9" s="2" t="n">
        <f aca="false">'Dirty Data'!D8</f>
        <v>19</v>
      </c>
      <c r="E9" s="2" t="str">
        <f aca="false">_xlfn.IFS(D9="","Missing",D9&lt;0,"Invalid",D9&gt;120,"Invalid",TRUE(),"Valid")</f>
        <v>Valid</v>
      </c>
      <c r="F9" s="2" t="str">
        <f aca="false">IF(COUNTIFS('Dirty Data'!$B$2:$B$166,'Dirty Data'!B8,'Dirty Data'!$C$2:$C$166,'Dirty Data'!C8,'Dirty Data'!$D$2:$D$166,'Dirty Data'!D8)&gt;1,"Possible Duplicate","Unique")</f>
        <v>Unique</v>
      </c>
    </row>
    <row r="10" customFormat="false" ht="15" hidden="false" customHeight="false" outlineLevel="0" collapsed="false">
      <c r="A10" s="2" t="str">
        <f aca="false">'Dirty Data'!A9</f>
        <v>D0142</v>
      </c>
      <c r="B10" s="2" t="str">
        <f aca="false">TRIM(PROPER('Dirty Data'!B9))</f>
        <v>Eastfield</v>
      </c>
      <c r="C10" s="2" t="str">
        <f aca="false">_xlfn.IFS(OR('Dirty Data'!C9="M",'Dirty Data'!C9="m",'Dirty Data'!C9="Male",'Dirty Data'!C9="male"),"Male",OR('Dirty Data'!C9="F",'Dirty Data'!C9="f",'Dirty Data'!C9="Female",'Dirty Data'!C9="female",'Dirty Data'!C9="Femle"),"Female",TRUE(),"Unrecognized")</f>
        <v>Male</v>
      </c>
      <c r="D10" s="2" t="n">
        <f aca="false">'Dirty Data'!D9</f>
        <v>71</v>
      </c>
      <c r="E10" s="2" t="str">
        <f aca="false">_xlfn.IFS(D10="","Missing",D10&lt;0,"Invalid",D10&gt;120,"Invalid",TRUE(),"Valid")</f>
        <v>Valid</v>
      </c>
      <c r="F10" s="2" t="str">
        <f aca="false">IF(COUNTIFS('Dirty Data'!$B$2:$B$166,'Dirty Data'!B9,'Dirty Data'!$C$2:$C$166,'Dirty Data'!C9,'Dirty Data'!$D$2:$D$166,'Dirty Data'!D9)&gt;1,"Possible Duplicate","Unique")</f>
        <v>Possible Duplicate</v>
      </c>
    </row>
    <row r="11" customFormat="false" ht="15" hidden="false" customHeight="false" outlineLevel="0" collapsed="false">
      <c r="A11" s="2" t="str">
        <f aca="false">'Dirty Data'!A10</f>
        <v>D0059</v>
      </c>
      <c r="B11" s="2" t="str">
        <f aca="false">TRIM(PROPER('Dirty Data'!B10))</f>
        <v>Eastfield</v>
      </c>
      <c r="C11" s="2" t="str">
        <f aca="false">_xlfn.IFS(OR('Dirty Data'!C10="M",'Dirty Data'!C10="m",'Dirty Data'!C10="Male",'Dirty Data'!C10="male"),"Male",OR('Dirty Data'!C10="F",'Dirty Data'!C10="f",'Dirty Data'!C10="Female",'Dirty Data'!C10="female",'Dirty Data'!C10="Femle"),"Female",TRUE(),"Unrecognized")</f>
        <v>Female</v>
      </c>
      <c r="D11" s="2" t="n">
        <f aca="false">'Dirty Data'!D10</f>
        <v>83</v>
      </c>
      <c r="E11" s="2" t="str">
        <f aca="false">_xlfn.IFS(D11="","Missing",D11&lt;0,"Invalid",D11&gt;120,"Invalid",TRUE(),"Valid")</f>
        <v>Valid</v>
      </c>
      <c r="F11" s="2" t="str">
        <f aca="false">IF(COUNTIFS('Dirty Data'!$B$2:$B$166,'Dirty Data'!B10,'Dirty Data'!$C$2:$C$166,'Dirty Data'!C10,'Dirty Data'!$D$2:$D$166,'Dirty Data'!D10)&gt;1,"Possible Duplicate","Unique")</f>
        <v>Possible Duplicate</v>
      </c>
    </row>
    <row r="12" customFormat="false" ht="15" hidden="false" customHeight="false" outlineLevel="0" collapsed="false">
      <c r="A12" s="2" t="str">
        <f aca="false">'Dirty Data'!A11</f>
        <v>D0088</v>
      </c>
      <c r="B12" s="2" t="str">
        <f aca="false">TRIM(PROPER('Dirty Data'!B11))</f>
        <v>Eastfield</v>
      </c>
      <c r="C12" s="2" t="str">
        <f aca="false">_xlfn.IFS(OR('Dirty Data'!C11="M",'Dirty Data'!C11="m",'Dirty Data'!C11="Male",'Dirty Data'!C11="male"),"Male",OR('Dirty Data'!C11="F",'Dirty Data'!C11="f",'Dirty Data'!C11="Female",'Dirty Data'!C11="female",'Dirty Data'!C11="Femle"),"Female",TRUE(),"Unrecognized")</f>
        <v>Female</v>
      </c>
      <c r="D12" s="2" t="n">
        <f aca="false">'Dirty Data'!D11</f>
        <v>24</v>
      </c>
      <c r="E12" s="2" t="str">
        <f aca="false">_xlfn.IFS(D12="","Missing",D12&lt;0,"Invalid",D12&gt;120,"Invalid",TRUE(),"Valid")</f>
        <v>Valid</v>
      </c>
      <c r="F12" s="2" t="str">
        <f aca="false">IF(COUNTIFS('Dirty Data'!$B$2:$B$166,'Dirty Data'!B11,'Dirty Data'!$C$2:$C$166,'Dirty Data'!C11,'Dirty Data'!$D$2:$D$166,'Dirty Data'!D11)&gt;1,"Possible Duplicate","Unique")</f>
        <v>Unique</v>
      </c>
    </row>
    <row r="13" customFormat="false" ht="15" hidden="false" customHeight="false" outlineLevel="0" collapsed="false">
      <c r="A13" s="2" t="str">
        <f aca="false">'Dirty Data'!A12</f>
        <v>D0092</v>
      </c>
      <c r="B13" s="2" t="str">
        <f aca="false">TRIM(PROPER('Dirty Data'!B12))</f>
        <v>Central</v>
      </c>
      <c r="C13" s="2" t="str">
        <f aca="false">_xlfn.IFS(OR('Dirty Data'!C12="M",'Dirty Data'!C12="m",'Dirty Data'!C12="Male",'Dirty Data'!C12="male"),"Male",OR('Dirty Data'!C12="F",'Dirty Data'!C12="f",'Dirty Data'!C12="Female",'Dirty Data'!C12="female",'Dirty Data'!C12="Femle"),"Female",TRUE(),"Unrecognized")</f>
        <v>Male</v>
      </c>
      <c r="D13" s="2" t="n">
        <f aca="false">'Dirty Data'!D12</f>
        <v>999</v>
      </c>
      <c r="E13" s="2" t="str">
        <f aca="false">_xlfn.IFS(D13="","Missing",D13&lt;0,"Invalid",D13&gt;120,"Invalid",TRUE(),"Valid")</f>
        <v>Invalid</v>
      </c>
      <c r="F13" s="2" t="str">
        <f aca="false">IF(COUNTIFS('Dirty Data'!$B$2:$B$166,'Dirty Data'!B12,'Dirty Data'!$C$2:$C$166,'Dirty Data'!C12,'Dirty Data'!$D$2:$D$166,'Dirty Data'!D12)&gt;1,"Possible Duplicate","Unique")</f>
        <v>Unique</v>
      </c>
    </row>
    <row r="14" customFormat="false" ht="15" hidden="false" customHeight="false" outlineLevel="0" collapsed="false">
      <c r="A14" s="2" t="str">
        <f aca="false">'Dirty Data'!A13</f>
        <v>D0004</v>
      </c>
      <c r="B14" s="2" t="str">
        <f aca="false">TRIM(PROPER('Dirty Data'!B13))</f>
        <v>Central</v>
      </c>
      <c r="C14" s="2" t="str">
        <f aca="false">_xlfn.IFS(OR('Dirty Data'!C13="M",'Dirty Data'!C13="m",'Dirty Data'!C13="Male",'Dirty Data'!C13="male"),"Male",OR('Dirty Data'!C13="F",'Dirty Data'!C13="f",'Dirty Data'!C13="Female",'Dirty Data'!C13="female",'Dirty Data'!C13="Femle"),"Female",TRUE(),"Unrecognized")</f>
        <v>Female</v>
      </c>
      <c r="D14" s="2" t="n">
        <f aca="false">'Dirty Data'!D13</f>
        <v>27</v>
      </c>
      <c r="E14" s="2" t="str">
        <f aca="false">_xlfn.IFS(D14="","Missing",D14&lt;0,"Invalid",D14&gt;120,"Invalid",TRUE(),"Valid")</f>
        <v>Valid</v>
      </c>
      <c r="F14" s="2" t="str">
        <f aca="false">IF(COUNTIFS('Dirty Data'!$B$2:$B$166,'Dirty Data'!B13,'Dirty Data'!$C$2:$C$166,'Dirty Data'!C13,'Dirty Data'!$D$2:$D$166,'Dirty Data'!D13)&gt;1,"Possible Duplicate","Unique")</f>
        <v>Unique</v>
      </c>
    </row>
    <row r="15" customFormat="false" ht="15" hidden="false" customHeight="false" outlineLevel="0" collapsed="false">
      <c r="A15" s="2" t="str">
        <f aca="false">'Dirty Data'!A14</f>
        <v>D0075</v>
      </c>
      <c r="B15" s="2" t="str">
        <f aca="false">TRIM(PROPER('Dirty Data'!B14))</f>
        <v>Highland</v>
      </c>
      <c r="C15" s="2" t="str">
        <f aca="false">_xlfn.IFS(OR('Dirty Data'!C14="M",'Dirty Data'!C14="m",'Dirty Data'!C14="Male",'Dirty Data'!C14="male"),"Male",OR('Dirty Data'!C14="F",'Dirty Data'!C14="f",'Dirty Data'!C14="Female",'Dirty Data'!C14="female",'Dirty Data'!C14="Femle"),"Female",TRUE(),"Unrecognized")</f>
        <v>Female</v>
      </c>
      <c r="D15" s="2" t="n">
        <f aca="false">'Dirty Data'!D14</f>
        <v>61</v>
      </c>
      <c r="E15" s="2" t="str">
        <f aca="false">_xlfn.IFS(D15="","Missing",D15&lt;0,"Invalid",D15&gt;120,"Invalid",TRUE(),"Valid")</f>
        <v>Valid</v>
      </c>
      <c r="F15" s="2" t="str">
        <f aca="false">IF(COUNTIFS('Dirty Data'!$B$2:$B$166,'Dirty Data'!B14,'Dirty Data'!$C$2:$C$166,'Dirty Data'!C14,'Dirty Data'!$D$2:$D$166,'Dirty Data'!D14)&gt;1,"Possible Duplicate","Unique")</f>
        <v>Unique</v>
      </c>
    </row>
    <row r="16" customFormat="false" ht="15" hidden="false" customHeight="false" outlineLevel="0" collapsed="false">
      <c r="A16" s="2" t="str">
        <f aca="false">'Dirty Data'!A15</f>
        <v>D0123</v>
      </c>
      <c r="B16" s="2" t="str">
        <f aca="false">TRIM(PROPER('Dirty Data'!B15))</f>
        <v>Eastfield</v>
      </c>
      <c r="C16" s="2" t="str">
        <f aca="false">_xlfn.IFS(OR('Dirty Data'!C15="M",'Dirty Data'!C15="m",'Dirty Data'!C15="Male",'Dirty Data'!C15="male"),"Male",OR('Dirty Data'!C15="F",'Dirty Data'!C15="f",'Dirty Data'!C15="Female",'Dirty Data'!C15="female",'Dirty Data'!C15="Femle"),"Female",TRUE(),"Unrecognized")</f>
        <v>Female</v>
      </c>
      <c r="D16" s="2" t="n">
        <f aca="false">'Dirty Data'!D15</f>
        <v>64</v>
      </c>
      <c r="E16" s="2" t="str">
        <f aca="false">_xlfn.IFS(D16="","Missing",D16&lt;0,"Invalid",D16&gt;120,"Invalid",TRUE(),"Valid")</f>
        <v>Valid</v>
      </c>
      <c r="F16" s="2" t="str">
        <f aca="false">IF(COUNTIFS('Dirty Data'!$B$2:$B$166,'Dirty Data'!B15,'Dirty Data'!$C$2:$C$166,'Dirty Data'!C15,'Dirty Data'!$D$2:$D$166,'Dirty Data'!D15)&gt;1,"Possible Duplicate","Unique")</f>
        <v>Possible Duplicate</v>
      </c>
    </row>
    <row r="17" customFormat="false" ht="15" hidden="false" customHeight="false" outlineLevel="0" collapsed="false">
      <c r="A17" s="2" t="str">
        <f aca="false">'Dirty Data'!A16</f>
        <v>D0054</v>
      </c>
      <c r="B17" s="2" t="str">
        <f aca="false">TRIM(PROPER('Dirty Data'!B16))</f>
        <v>Central</v>
      </c>
      <c r="C17" s="2" t="str">
        <f aca="false">_xlfn.IFS(OR('Dirty Data'!C16="M",'Dirty Data'!C16="m",'Dirty Data'!C16="Male",'Dirty Data'!C16="male"),"Male",OR('Dirty Data'!C16="F",'Dirty Data'!C16="f",'Dirty Data'!C16="Female",'Dirty Data'!C16="female",'Dirty Data'!C16="Femle"),"Female",TRUE(),"Unrecognized")</f>
        <v>Female</v>
      </c>
      <c r="D17" s="2" t="n">
        <f aca="false">'Dirty Data'!D16</f>
        <v>75</v>
      </c>
      <c r="E17" s="2" t="str">
        <f aca="false">_xlfn.IFS(D17="","Missing",D17&lt;0,"Invalid",D17&gt;120,"Invalid",TRUE(),"Valid")</f>
        <v>Valid</v>
      </c>
      <c r="F17" s="2" t="str">
        <f aca="false">IF(COUNTIFS('Dirty Data'!$B$2:$B$166,'Dirty Data'!B16,'Dirty Data'!$C$2:$C$166,'Dirty Data'!C16,'Dirty Data'!$D$2:$D$166,'Dirty Data'!D16)&gt;1,"Possible Duplicate","Unique")</f>
        <v>Unique</v>
      </c>
    </row>
    <row r="18" customFormat="false" ht="15" hidden="false" customHeight="false" outlineLevel="0" collapsed="false">
      <c r="A18" s="2" t="str">
        <f aca="false">'Dirty Data'!A17</f>
        <v>D0077</v>
      </c>
      <c r="B18" s="2" t="str">
        <f aca="false">TRIM(PROPER('Dirty Data'!B17))</f>
        <v>Central</v>
      </c>
      <c r="C18" s="2" t="str">
        <f aca="false">_xlfn.IFS(OR('Dirty Data'!C17="M",'Dirty Data'!C17="m",'Dirty Data'!C17="Male",'Dirty Data'!C17="male"),"Male",OR('Dirty Data'!C17="F",'Dirty Data'!C17="f",'Dirty Data'!C17="Female",'Dirty Data'!C17="female",'Dirty Data'!C17="Femle"),"Female",TRUE(),"Unrecognized")</f>
        <v>Female</v>
      </c>
      <c r="D18" s="2" t="n">
        <f aca="false">'Dirty Data'!D17</f>
        <v>43</v>
      </c>
      <c r="E18" s="2" t="str">
        <f aca="false">_xlfn.IFS(D18="","Missing",D18&lt;0,"Invalid",D18&gt;120,"Invalid",TRUE(),"Valid")</f>
        <v>Valid</v>
      </c>
      <c r="F18" s="2" t="str">
        <f aca="false">IF(COUNTIFS('Dirty Data'!$B$2:$B$166,'Dirty Data'!B17,'Dirty Data'!$C$2:$C$166,'Dirty Data'!C17,'Dirty Data'!$D$2:$D$166,'Dirty Data'!D17)&gt;1,"Possible Duplicate","Unique")</f>
        <v>Unique</v>
      </c>
    </row>
    <row r="19" customFormat="false" ht="15" hidden="false" customHeight="false" outlineLevel="0" collapsed="false">
      <c r="A19" s="2" t="str">
        <f aca="false">'Dirty Data'!A18</f>
        <v>D0041</v>
      </c>
      <c r="B19" s="2" t="str">
        <f aca="false">TRIM(PROPER('Dirty Data'!B18))</f>
        <v>Central</v>
      </c>
      <c r="C19" s="2" t="str">
        <f aca="false">_xlfn.IFS(OR('Dirty Data'!C18="M",'Dirty Data'!C18="m",'Dirty Data'!C18="Male",'Dirty Data'!C18="male"),"Male",OR('Dirty Data'!C18="F",'Dirty Data'!C18="f",'Dirty Data'!C18="Female",'Dirty Data'!C18="female",'Dirty Data'!C18="Femle"),"Female",TRUE(),"Unrecognized")</f>
        <v>Female</v>
      </c>
      <c r="D19" s="2" t="n">
        <f aca="false">'Dirty Data'!D18</f>
        <v>45</v>
      </c>
      <c r="E19" s="2" t="str">
        <f aca="false">_xlfn.IFS(D19="","Missing",D19&lt;0,"Invalid",D19&gt;120,"Invalid",TRUE(),"Valid")</f>
        <v>Valid</v>
      </c>
      <c r="F19" s="2" t="str">
        <f aca="false">IF(COUNTIFS('Dirty Data'!$B$2:$B$166,'Dirty Data'!B18,'Dirty Data'!$C$2:$C$166,'Dirty Data'!C18,'Dirty Data'!$D$2:$D$166,'Dirty Data'!D18)&gt;1,"Possible Duplicate","Unique")</f>
        <v>Unique</v>
      </c>
    </row>
    <row r="20" customFormat="false" ht="15" hidden="false" customHeight="false" outlineLevel="0" collapsed="false">
      <c r="A20" s="2" t="str">
        <f aca="false">'Dirty Data'!A19</f>
        <v>D0096</v>
      </c>
      <c r="B20" s="2" t="str">
        <f aca="false">TRIM(PROPER('Dirty Data'!B19))</f>
        <v>Northgate</v>
      </c>
      <c r="C20" s="2" t="str">
        <f aca="false">_xlfn.IFS(OR('Dirty Data'!C19="M",'Dirty Data'!C19="m",'Dirty Data'!C19="Male",'Dirty Data'!C19="male"),"Male",OR('Dirty Data'!C19="F",'Dirty Data'!C19="f",'Dirty Data'!C19="Female",'Dirty Data'!C19="female",'Dirty Data'!C19="Femle"),"Female",TRUE(),"Unrecognized")</f>
        <v>Male</v>
      </c>
      <c r="D20" s="2" t="n">
        <f aca="false">'Dirty Data'!D19</f>
        <v>29</v>
      </c>
      <c r="E20" s="2" t="str">
        <f aca="false">_xlfn.IFS(D20="","Missing",D20&lt;0,"Invalid",D20&gt;120,"Invalid",TRUE(),"Valid")</f>
        <v>Valid</v>
      </c>
      <c r="F20" s="2" t="str">
        <f aca="false">IF(COUNTIFS('Dirty Data'!$B$2:$B$166,'Dirty Data'!B19,'Dirty Data'!$C$2:$C$166,'Dirty Data'!C19,'Dirty Data'!$D$2:$D$166,'Dirty Data'!D19)&gt;1,"Possible Duplicate","Unique")</f>
        <v>Unique</v>
      </c>
    </row>
    <row r="21" customFormat="false" ht="15" hidden="false" customHeight="false" outlineLevel="0" collapsed="false">
      <c r="A21" s="2" t="str">
        <f aca="false">'Dirty Data'!A20</f>
        <v>D0063</v>
      </c>
      <c r="B21" s="2" t="str">
        <f aca="false">TRIM(PROPER('Dirty Data'!B20))</f>
        <v>Highland</v>
      </c>
      <c r="C21" s="2" t="str">
        <f aca="false">_xlfn.IFS(OR('Dirty Data'!C20="M",'Dirty Data'!C20="m",'Dirty Data'!C20="Male",'Dirty Data'!C20="male"),"Male",OR('Dirty Data'!C20="F",'Dirty Data'!C20="f",'Dirty Data'!C20="Female",'Dirty Data'!C20="female",'Dirty Data'!C20="Femle"),"Female",TRUE(),"Unrecognized")</f>
        <v>Female</v>
      </c>
      <c r="D21" s="2" t="n">
        <f aca="false">'Dirty Data'!D20</f>
        <v>51</v>
      </c>
      <c r="E21" s="2" t="str">
        <f aca="false">_xlfn.IFS(D21="","Missing",D21&lt;0,"Invalid",D21&gt;120,"Invalid",TRUE(),"Valid")</f>
        <v>Valid</v>
      </c>
      <c r="F21" s="2" t="str">
        <f aca="false">IF(COUNTIFS('Dirty Data'!$B$2:$B$166,'Dirty Data'!B20,'Dirty Data'!$C$2:$C$166,'Dirty Data'!C20,'Dirty Data'!$D$2:$D$166,'Dirty Data'!D20)&gt;1,"Possible Duplicate","Unique")</f>
        <v>Unique</v>
      </c>
    </row>
    <row r="22" customFormat="false" ht="15" hidden="false" customHeight="false" outlineLevel="0" collapsed="false">
      <c r="A22" s="2" t="str">
        <f aca="false">'Dirty Data'!A21</f>
        <v>D0013</v>
      </c>
      <c r="B22" s="2" t="str">
        <f aca="false">TRIM(PROPER('Dirty Data'!B21))</f>
        <v>Northgate</v>
      </c>
      <c r="C22" s="2" t="str">
        <f aca="false">_xlfn.IFS(OR('Dirty Data'!C21="M",'Dirty Data'!C21="m",'Dirty Data'!C21="Male",'Dirty Data'!C21="male"),"Male",OR('Dirty Data'!C21="F",'Dirty Data'!C21="f",'Dirty Data'!C21="Female",'Dirty Data'!C21="female",'Dirty Data'!C21="Femle"),"Female",TRUE(),"Unrecognized")</f>
        <v>Male</v>
      </c>
      <c r="D22" s="2" t="n">
        <f aca="false">'Dirty Data'!D21</f>
        <v>53</v>
      </c>
      <c r="E22" s="2" t="str">
        <f aca="false">_xlfn.IFS(D22="","Missing",D22&lt;0,"Invalid",D22&gt;120,"Invalid",TRUE(),"Valid")</f>
        <v>Valid</v>
      </c>
      <c r="F22" s="2" t="str">
        <f aca="false">IF(COUNTIFS('Dirty Data'!$B$2:$B$166,'Dirty Data'!B21,'Dirty Data'!$C$2:$C$166,'Dirty Data'!C21,'Dirty Data'!$D$2:$D$166,'Dirty Data'!D21)&gt;1,"Possible Duplicate","Unique")</f>
        <v>Unique</v>
      </c>
    </row>
    <row r="23" customFormat="false" ht="15" hidden="false" customHeight="false" outlineLevel="0" collapsed="false">
      <c r="A23" s="2" t="str">
        <f aca="false">'Dirty Data'!A22</f>
        <v>D0101</v>
      </c>
      <c r="B23" s="2" t="str">
        <f aca="false">TRIM(PROPER('Dirty Data'!B22))</f>
        <v>Central</v>
      </c>
      <c r="C23" s="2" t="str">
        <f aca="false">_xlfn.IFS(OR('Dirty Data'!C22="M",'Dirty Data'!C22="m",'Dirty Data'!C22="Male",'Dirty Data'!C22="male"),"Male",OR('Dirty Data'!C22="F",'Dirty Data'!C22="f",'Dirty Data'!C22="Female",'Dirty Data'!C22="female",'Dirty Data'!C22="Femle"),"Female",TRUE(),"Unrecognized")</f>
        <v>Female</v>
      </c>
      <c r="D23" s="2" t="n">
        <f aca="false">'Dirty Data'!D22</f>
        <v>84</v>
      </c>
      <c r="E23" s="2" t="str">
        <f aca="false">_xlfn.IFS(D23="","Missing",D23&lt;0,"Invalid",D23&gt;120,"Invalid",TRUE(),"Valid")</f>
        <v>Valid</v>
      </c>
      <c r="F23" s="2" t="str">
        <f aca="false">IF(COUNTIFS('Dirty Data'!$B$2:$B$166,'Dirty Data'!B22,'Dirty Data'!$C$2:$C$166,'Dirty Data'!C22,'Dirty Data'!$D$2:$D$166,'Dirty Data'!D22)&gt;1,"Possible Duplicate","Unique")</f>
        <v>Unique</v>
      </c>
    </row>
    <row r="24" customFormat="false" ht="15" hidden="false" customHeight="false" outlineLevel="0" collapsed="false">
      <c r="A24" s="2" t="str">
        <f aca="false">'Dirty Data'!A23</f>
        <v>D0146</v>
      </c>
      <c r="B24" s="2" t="str">
        <f aca="false">TRIM(PROPER('Dirty Data'!B23))</f>
        <v>Central</v>
      </c>
      <c r="C24" s="2" t="str">
        <f aca="false">_xlfn.IFS(OR('Dirty Data'!C23="M",'Dirty Data'!C23="m",'Dirty Data'!C23="Male",'Dirty Data'!C23="male"),"Male",OR('Dirty Data'!C23="F",'Dirty Data'!C23="f",'Dirty Data'!C23="Female",'Dirty Data'!C23="female",'Dirty Data'!C23="Femle"),"Female",TRUE(),"Unrecognized")</f>
        <v>Female</v>
      </c>
      <c r="D24" s="2" t="n">
        <f aca="false">'Dirty Data'!D23</f>
        <v>30</v>
      </c>
      <c r="E24" s="2" t="str">
        <f aca="false">_xlfn.IFS(D24="","Missing",D24&lt;0,"Invalid",D24&gt;120,"Invalid",TRUE(),"Valid")</f>
        <v>Valid</v>
      </c>
      <c r="F24" s="2" t="str">
        <f aca="false">IF(COUNTIFS('Dirty Data'!$B$2:$B$166,'Dirty Data'!B23,'Dirty Data'!$C$2:$C$166,'Dirty Data'!C23,'Dirty Data'!$D$2:$D$166,'Dirty Data'!D23)&gt;1,"Possible Duplicate","Unique")</f>
        <v>Unique</v>
      </c>
    </row>
    <row r="25" customFormat="false" ht="15" hidden="false" customHeight="false" outlineLevel="0" collapsed="false">
      <c r="A25" s="2" t="str">
        <f aca="false">'Dirty Data'!A24</f>
        <v>D0009</v>
      </c>
      <c r="B25" s="2" t="str">
        <f aca="false">TRIM(PROPER('Dirty Data'!B24))</f>
        <v>Central</v>
      </c>
      <c r="C25" s="2" t="str">
        <f aca="false">_xlfn.IFS(OR('Dirty Data'!C24="M",'Dirty Data'!C24="m",'Dirty Data'!C24="Male",'Dirty Data'!C24="male"),"Male",OR('Dirty Data'!C24="F",'Dirty Data'!C24="f",'Dirty Data'!C24="Female",'Dirty Data'!C24="female",'Dirty Data'!C24="Femle"),"Female",TRUE(),"Unrecognized")</f>
        <v>Male</v>
      </c>
      <c r="D25" s="2" t="n">
        <f aca="false">'Dirty Data'!D24</f>
        <v>80</v>
      </c>
      <c r="E25" s="2" t="str">
        <f aca="false">_xlfn.IFS(D25="","Missing",D25&lt;0,"Invalid",D25&gt;120,"Invalid",TRUE(),"Valid")</f>
        <v>Valid</v>
      </c>
      <c r="F25" s="2" t="str">
        <f aca="false">IF(COUNTIFS('Dirty Data'!$B$2:$B$166,'Dirty Data'!B24,'Dirty Data'!$C$2:$C$166,'Dirty Data'!C24,'Dirty Data'!$D$2:$D$166,'Dirty Data'!D24)&gt;1,"Possible Duplicate","Unique")</f>
        <v>Unique</v>
      </c>
    </row>
    <row r="26" customFormat="false" ht="15" hidden="false" customHeight="false" outlineLevel="0" collapsed="false">
      <c r="A26" s="2" t="str">
        <f aca="false">'Dirty Data'!A25</f>
        <v>D0042</v>
      </c>
      <c r="B26" s="2" t="str">
        <f aca="false">TRIM(PROPER('Dirty Data'!B25))</f>
        <v>Northgate</v>
      </c>
      <c r="C26" s="2" t="str">
        <f aca="false">_xlfn.IFS(OR('Dirty Data'!C25="M",'Dirty Data'!C25="m",'Dirty Data'!C25="Male",'Dirty Data'!C25="male"),"Male",OR('Dirty Data'!C25="F",'Dirty Data'!C25="f",'Dirty Data'!C25="Female",'Dirty Data'!C25="female",'Dirty Data'!C25="Femle"),"Female",TRUE(),"Unrecognized")</f>
        <v>Female</v>
      </c>
      <c r="D26" s="2" t="n">
        <f aca="false">'Dirty Data'!D25</f>
        <v>0</v>
      </c>
      <c r="E26" s="2" t="str">
        <f aca="false">_xlfn.IFS(D26="","Missing",D26&lt;0,"Invalid",D26&gt;120,"Invalid",TRUE(),"Valid")</f>
        <v>Missing</v>
      </c>
      <c r="F26" s="2" t="str">
        <f aca="false">IF(COUNTIFS('Dirty Data'!$B$2:$B$166,'Dirty Data'!B25,'Dirty Data'!$C$2:$C$166,'Dirty Data'!C25,'Dirty Data'!$D$2:$D$166,'Dirty Data'!D25)&gt;1,"Possible Duplicate","Unique")</f>
        <v>Unique</v>
      </c>
    </row>
    <row r="27" customFormat="false" ht="15" hidden="false" customHeight="false" outlineLevel="0" collapsed="false">
      <c r="A27" s="2" t="str">
        <f aca="false">'Dirty Data'!A26</f>
        <v>D0037</v>
      </c>
      <c r="B27" s="2" t="str">
        <f aca="false">TRIM(PROPER('Dirty Data'!B26))</f>
        <v>Central</v>
      </c>
      <c r="C27" s="2" t="str">
        <f aca="false">_xlfn.IFS(OR('Dirty Data'!C26="M",'Dirty Data'!C26="m",'Dirty Data'!C26="Male",'Dirty Data'!C26="male"),"Male",OR('Dirty Data'!C26="F",'Dirty Data'!C26="f",'Dirty Data'!C26="Female",'Dirty Data'!C26="female",'Dirty Data'!C26="Femle"),"Female",TRUE(),"Unrecognized")</f>
        <v>Male</v>
      </c>
      <c r="D27" s="2" t="n">
        <f aca="false">'Dirty Data'!D26</f>
        <v>93</v>
      </c>
      <c r="E27" s="2" t="str">
        <f aca="false">_xlfn.IFS(D27="","Missing",D27&lt;0,"Invalid",D27&gt;120,"Invalid",TRUE(),"Valid")</f>
        <v>Valid</v>
      </c>
      <c r="F27" s="2" t="str">
        <f aca="false">IF(COUNTIFS('Dirty Data'!$B$2:$B$166,'Dirty Data'!B26,'Dirty Data'!$C$2:$C$166,'Dirty Data'!C26,'Dirty Data'!$D$2:$D$166,'Dirty Data'!D26)&gt;1,"Possible Duplicate","Unique")</f>
        <v>Unique</v>
      </c>
    </row>
    <row r="28" customFormat="false" ht="15" hidden="false" customHeight="false" outlineLevel="0" collapsed="false">
      <c r="A28" s="2" t="str">
        <f aca="false">'Dirty Data'!A27</f>
        <v>D0106</v>
      </c>
      <c r="B28" s="2" t="str">
        <f aca="false">TRIM(PROPER('Dirty Data'!B27))</f>
        <v>Highland</v>
      </c>
      <c r="C28" s="2" t="str">
        <f aca="false">_xlfn.IFS(OR('Dirty Data'!C27="M",'Dirty Data'!C27="m",'Dirty Data'!C27="Male",'Dirty Data'!C27="male"),"Male",OR('Dirty Data'!C27="F",'Dirty Data'!C27="f",'Dirty Data'!C27="Female",'Dirty Data'!C27="female",'Dirty Data'!C27="Femle"),"Female",TRUE(),"Unrecognized")</f>
        <v>Female</v>
      </c>
      <c r="D28" s="2" t="n">
        <f aca="false">'Dirty Data'!D27</f>
        <v>51</v>
      </c>
      <c r="E28" s="2" t="str">
        <f aca="false">_xlfn.IFS(D28="","Missing",D28&lt;0,"Invalid",D28&gt;120,"Invalid",TRUE(),"Valid")</f>
        <v>Valid</v>
      </c>
      <c r="F28" s="2" t="str">
        <f aca="false">IF(COUNTIFS('Dirty Data'!$B$2:$B$166,'Dirty Data'!B27,'Dirty Data'!$C$2:$C$166,'Dirty Data'!C27,'Dirty Data'!$D$2:$D$166,'Dirty Data'!D27)&gt;1,"Possible Duplicate","Unique")</f>
        <v>Unique</v>
      </c>
    </row>
    <row r="29" customFormat="false" ht="15" hidden="false" customHeight="false" outlineLevel="0" collapsed="false">
      <c r="A29" s="2" t="str">
        <f aca="false">'Dirty Data'!A28</f>
        <v>D0062</v>
      </c>
      <c r="B29" s="2" t="str">
        <f aca="false">TRIM(PROPER('Dirty Data'!B28))</f>
        <v>Highland</v>
      </c>
      <c r="C29" s="2" t="str">
        <f aca="false">_xlfn.IFS(OR('Dirty Data'!C28="M",'Dirty Data'!C28="m",'Dirty Data'!C28="Male",'Dirty Data'!C28="male"),"Male",OR('Dirty Data'!C28="F",'Dirty Data'!C28="f",'Dirty Data'!C28="Female",'Dirty Data'!C28="female",'Dirty Data'!C28="Femle"),"Female",TRUE(),"Unrecognized")</f>
        <v>Female</v>
      </c>
      <c r="D29" s="2" t="n">
        <f aca="false">'Dirty Data'!D28</f>
        <v>13</v>
      </c>
      <c r="E29" s="2" t="str">
        <f aca="false">_xlfn.IFS(D29="","Missing",D29&lt;0,"Invalid",D29&gt;120,"Invalid",TRUE(),"Valid")</f>
        <v>Valid</v>
      </c>
      <c r="F29" s="2" t="str">
        <f aca="false">IF(COUNTIFS('Dirty Data'!$B$2:$B$166,'Dirty Data'!B28,'Dirty Data'!$C$2:$C$166,'Dirty Data'!C28,'Dirty Data'!$D$2:$D$166,'Dirty Data'!D28)&gt;1,"Possible Duplicate","Unique")</f>
        <v>Unique</v>
      </c>
    </row>
    <row r="30" customFormat="false" ht="15" hidden="false" customHeight="false" outlineLevel="0" collapsed="false">
      <c r="A30" s="2" t="str">
        <f aca="false">'Dirty Data'!A29</f>
        <v>D0113</v>
      </c>
      <c r="B30" s="2" t="str">
        <f aca="false">TRIM(PROPER('Dirty Data'!B29))</f>
        <v>Northgate</v>
      </c>
      <c r="C30" s="2" t="str">
        <f aca="false">_xlfn.IFS(OR('Dirty Data'!C29="M",'Dirty Data'!C29="m",'Dirty Data'!C29="Male",'Dirty Data'!C29="male"),"Male",OR('Dirty Data'!C29="F",'Dirty Data'!C29="f",'Dirty Data'!C29="Female",'Dirty Data'!C29="female",'Dirty Data'!C29="Femle"),"Female",TRUE(),"Unrecognized")</f>
        <v>Male</v>
      </c>
      <c r="D30" s="2" t="n">
        <f aca="false">'Dirty Data'!D29</f>
        <v>1</v>
      </c>
      <c r="E30" s="2" t="str">
        <f aca="false">_xlfn.IFS(D30="","Missing",D30&lt;0,"Invalid",D30&gt;120,"Invalid",TRUE(),"Valid")</f>
        <v>Valid</v>
      </c>
      <c r="F30" s="2" t="str">
        <f aca="false">IF(COUNTIFS('Dirty Data'!$B$2:$B$166,'Dirty Data'!B29,'Dirty Data'!$C$2:$C$166,'Dirty Data'!C29,'Dirty Data'!$D$2:$D$166,'Dirty Data'!D29)&gt;1,"Possible Duplicate","Unique")</f>
        <v>Possible Duplicate</v>
      </c>
    </row>
    <row r="31" customFormat="false" ht="15" hidden="false" customHeight="false" outlineLevel="0" collapsed="false">
      <c r="A31" s="2" t="str">
        <f aca="false">'Dirty Data'!A30</f>
        <v>D0073</v>
      </c>
      <c r="B31" s="2" t="str">
        <f aca="false">TRIM(PROPER('Dirty Data'!B30))</f>
        <v>Riverside</v>
      </c>
      <c r="C31" s="2" t="str">
        <f aca="false">_xlfn.IFS(OR('Dirty Data'!C30="M",'Dirty Data'!C30="m",'Dirty Data'!C30="Male",'Dirty Data'!C30="male"),"Male",OR('Dirty Data'!C30="F",'Dirty Data'!C30="f",'Dirty Data'!C30="Female",'Dirty Data'!C30="female",'Dirty Data'!C30="Femle"),"Female",TRUE(),"Unrecognized")</f>
        <v>Female</v>
      </c>
      <c r="D31" s="2" t="n">
        <f aca="false">'Dirty Data'!D30</f>
        <v>15</v>
      </c>
      <c r="E31" s="2" t="str">
        <f aca="false">_xlfn.IFS(D31="","Missing",D31&lt;0,"Invalid",D31&gt;120,"Invalid",TRUE(),"Valid")</f>
        <v>Valid</v>
      </c>
      <c r="F31" s="2" t="str">
        <f aca="false">IF(COUNTIFS('Dirty Data'!$B$2:$B$166,'Dirty Data'!B30,'Dirty Data'!$C$2:$C$166,'Dirty Data'!C30,'Dirty Data'!$D$2:$D$166,'Dirty Data'!D30)&gt;1,"Possible Duplicate","Unique")</f>
        <v>Unique</v>
      </c>
    </row>
    <row r="32" customFormat="false" ht="15" hidden="false" customHeight="false" outlineLevel="0" collapsed="false">
      <c r="A32" s="2" t="str">
        <f aca="false">'Dirty Data'!A31</f>
        <v>D0078</v>
      </c>
      <c r="B32" s="2" t="str">
        <f aca="false">TRIM(PROPER('Dirty Data'!B31))</f>
        <v>Riverside</v>
      </c>
      <c r="C32" s="2" t="str">
        <f aca="false">_xlfn.IFS(OR('Dirty Data'!C31="M",'Dirty Data'!C31="m",'Dirty Data'!C31="Male",'Dirty Data'!C31="male"),"Male",OR('Dirty Data'!C31="F",'Dirty Data'!C31="f",'Dirty Data'!C31="Female",'Dirty Data'!C31="female",'Dirty Data'!C31="Femle"),"Female",TRUE(),"Unrecognized")</f>
        <v>Female</v>
      </c>
      <c r="D32" s="2" t="n">
        <f aca="false">'Dirty Data'!D31</f>
        <v>88</v>
      </c>
      <c r="E32" s="2" t="str">
        <f aca="false">_xlfn.IFS(D32="","Missing",D32&lt;0,"Invalid",D32&gt;120,"Invalid",TRUE(),"Valid")</f>
        <v>Valid</v>
      </c>
      <c r="F32" s="2" t="str">
        <f aca="false">IF(COUNTIFS('Dirty Data'!$B$2:$B$166,'Dirty Data'!B31,'Dirty Data'!$C$2:$C$166,'Dirty Data'!C31,'Dirty Data'!$D$2:$D$166,'Dirty Data'!D31)&gt;1,"Possible Duplicate","Unique")</f>
        <v>Unique</v>
      </c>
    </row>
    <row r="33" customFormat="false" ht="15" hidden="false" customHeight="false" outlineLevel="0" collapsed="false">
      <c r="A33" s="2" t="str">
        <f aca="false">'Dirty Data'!A32</f>
        <v>D0048</v>
      </c>
      <c r="B33" s="2" t="str">
        <f aca="false">TRIM(PROPER('Dirty Data'!B32))</f>
        <v>Riverside</v>
      </c>
      <c r="C33" s="2" t="str">
        <f aca="false">_xlfn.IFS(OR('Dirty Data'!C32="M",'Dirty Data'!C32="m",'Dirty Data'!C32="Male",'Dirty Data'!C32="male"),"Male",OR('Dirty Data'!C32="F",'Dirty Data'!C32="f",'Dirty Data'!C32="Female",'Dirty Data'!C32="female",'Dirty Data'!C32="Femle"),"Female",TRUE(),"Unrecognized")</f>
        <v>Male</v>
      </c>
      <c r="D33" s="2" t="n">
        <f aca="false">'Dirty Data'!D32</f>
        <v>55</v>
      </c>
      <c r="E33" s="2" t="str">
        <f aca="false">_xlfn.IFS(D33="","Missing",D33&lt;0,"Invalid",D33&gt;120,"Invalid",TRUE(),"Valid")</f>
        <v>Valid</v>
      </c>
      <c r="F33" s="2" t="str">
        <f aca="false">IF(COUNTIFS('Dirty Data'!$B$2:$B$166,'Dirty Data'!B32,'Dirty Data'!$C$2:$C$166,'Dirty Data'!C32,'Dirty Data'!$D$2:$D$166,'Dirty Data'!D32)&gt;1,"Possible Duplicate","Unique")</f>
        <v>Unique</v>
      </c>
    </row>
    <row r="34" customFormat="false" ht="15" hidden="false" customHeight="false" outlineLevel="0" collapsed="false">
      <c r="A34" s="2" t="str">
        <f aca="false">'Dirty Data'!A33</f>
        <v>D0083</v>
      </c>
      <c r="B34" s="2" t="str">
        <f aca="false">TRIM(PROPER('Dirty Data'!B33))</f>
        <v>Riverside</v>
      </c>
      <c r="C34" s="2" t="str">
        <f aca="false">_xlfn.IFS(OR('Dirty Data'!C33="M",'Dirty Data'!C33="m",'Dirty Data'!C33="Male",'Dirty Data'!C33="male"),"Male",OR('Dirty Data'!C33="F",'Dirty Data'!C33="f",'Dirty Data'!C33="Female",'Dirty Data'!C33="female",'Dirty Data'!C33="Femle"),"Female",TRUE(),"Unrecognized")</f>
        <v>Female</v>
      </c>
      <c r="D34" s="2" t="n">
        <f aca="false">'Dirty Data'!D33</f>
        <v>11</v>
      </c>
      <c r="E34" s="2" t="str">
        <f aca="false">_xlfn.IFS(D34="","Missing",D34&lt;0,"Invalid",D34&gt;120,"Invalid",TRUE(),"Valid")</f>
        <v>Valid</v>
      </c>
      <c r="F34" s="2" t="str">
        <f aca="false">IF(COUNTIFS('Dirty Data'!$B$2:$B$166,'Dirty Data'!B33,'Dirty Data'!$C$2:$C$166,'Dirty Data'!C33,'Dirty Data'!$D$2:$D$166,'Dirty Data'!D33)&gt;1,"Possible Duplicate","Unique")</f>
        <v>Unique</v>
      </c>
    </row>
    <row r="35" customFormat="false" ht="15" hidden="false" customHeight="false" outlineLevel="0" collapsed="false">
      <c r="A35" s="2" t="str">
        <f aca="false">'Dirty Data'!A34</f>
        <v>D0125</v>
      </c>
      <c r="B35" s="2" t="str">
        <f aca="false">TRIM(PROPER('Dirty Data'!B34))</f>
        <v>Eastfield</v>
      </c>
      <c r="C35" s="2" t="str">
        <f aca="false">_xlfn.IFS(OR('Dirty Data'!C34="M",'Dirty Data'!C34="m",'Dirty Data'!C34="Male",'Dirty Data'!C34="male"),"Male",OR('Dirty Data'!C34="F",'Dirty Data'!C34="f",'Dirty Data'!C34="Female",'Dirty Data'!C34="female",'Dirty Data'!C34="Femle"),"Female",TRUE(),"Unrecognized")</f>
        <v>Female</v>
      </c>
      <c r="D35" s="2" t="n">
        <f aca="false">'Dirty Data'!D34</f>
        <v>0</v>
      </c>
      <c r="E35" s="2" t="str">
        <f aca="false">_xlfn.IFS(D35="","Missing",D35&lt;0,"Invalid",D35&gt;120,"Invalid",TRUE(),"Valid")</f>
        <v>Missing</v>
      </c>
      <c r="F35" s="2" t="str">
        <f aca="false">IF(COUNTIFS('Dirty Data'!$B$2:$B$166,'Dirty Data'!B34,'Dirty Data'!$C$2:$C$166,'Dirty Data'!C34,'Dirty Data'!$D$2:$D$166,'Dirty Data'!D34)&gt;1,"Possible Duplicate","Unique")</f>
        <v>Unique</v>
      </c>
    </row>
    <row r="36" customFormat="false" ht="15" hidden="false" customHeight="false" outlineLevel="0" collapsed="false">
      <c r="A36" s="2" t="str">
        <f aca="false">'Dirty Data'!A35</f>
        <v>D0006</v>
      </c>
      <c r="B36" s="2" t="str">
        <f aca="false">TRIM(PROPER('Dirty Data'!B35))</f>
        <v>Highland</v>
      </c>
      <c r="C36" s="2" t="str">
        <f aca="false">_xlfn.IFS(OR('Dirty Data'!C35="M",'Dirty Data'!C35="m",'Dirty Data'!C35="Male",'Dirty Data'!C35="male"),"Male",OR('Dirty Data'!C35="F",'Dirty Data'!C35="f",'Dirty Data'!C35="Female",'Dirty Data'!C35="female",'Dirty Data'!C35="Femle"),"Female",TRUE(),"Unrecognized")</f>
        <v>Male</v>
      </c>
      <c r="D36" s="2" t="n">
        <f aca="false">'Dirty Data'!D35</f>
        <v>30</v>
      </c>
      <c r="E36" s="2" t="str">
        <f aca="false">_xlfn.IFS(D36="","Missing",D36&lt;0,"Invalid",D36&gt;120,"Invalid",TRUE(),"Valid")</f>
        <v>Valid</v>
      </c>
      <c r="F36" s="2" t="str">
        <f aca="false">IF(COUNTIFS('Dirty Data'!$B$2:$B$166,'Dirty Data'!B35,'Dirty Data'!$C$2:$C$166,'Dirty Data'!C35,'Dirty Data'!$D$2:$D$166,'Dirty Data'!D35)&gt;1,"Possible Duplicate","Unique")</f>
        <v>Unique</v>
      </c>
    </row>
    <row r="37" customFormat="false" ht="15" hidden="false" customHeight="false" outlineLevel="0" collapsed="false">
      <c r="A37" s="2" t="str">
        <f aca="false">'Dirty Data'!A36</f>
        <v>D0095</v>
      </c>
      <c r="B37" s="2" t="str">
        <f aca="false">TRIM(PROPER('Dirty Data'!B36))</f>
        <v>Riverside</v>
      </c>
      <c r="C37" s="2" t="str">
        <f aca="false">_xlfn.IFS(OR('Dirty Data'!C36="M",'Dirty Data'!C36="m",'Dirty Data'!C36="Male",'Dirty Data'!C36="male"),"Male",OR('Dirty Data'!C36="F",'Dirty Data'!C36="f",'Dirty Data'!C36="Female",'Dirty Data'!C36="female",'Dirty Data'!C36="Femle"),"Female",TRUE(),"Unrecognized")</f>
        <v>Male</v>
      </c>
      <c r="D37" s="2" t="n">
        <f aca="false">'Dirty Data'!D36</f>
        <v>10</v>
      </c>
      <c r="E37" s="2" t="str">
        <f aca="false">_xlfn.IFS(D37="","Missing",D37&lt;0,"Invalid",D37&gt;120,"Invalid",TRUE(),"Valid")</f>
        <v>Valid</v>
      </c>
      <c r="F37" s="2" t="str">
        <f aca="false">IF(COUNTIFS('Dirty Data'!$B$2:$B$166,'Dirty Data'!B36,'Dirty Data'!$C$2:$C$166,'Dirty Data'!C36,'Dirty Data'!$D$2:$D$166,'Dirty Data'!D36)&gt;1,"Possible Duplicate","Unique")</f>
        <v>Unique</v>
      </c>
    </row>
    <row r="38" customFormat="false" ht="15" hidden="false" customHeight="false" outlineLevel="0" collapsed="false">
      <c r="A38" s="2" t="str">
        <f aca="false">'Dirty Data'!A37</f>
        <v>D0046</v>
      </c>
      <c r="B38" s="2" t="str">
        <f aca="false">TRIM(PROPER('Dirty Data'!B37))</f>
        <v>Highland</v>
      </c>
      <c r="C38" s="2" t="str">
        <f aca="false">_xlfn.IFS(OR('Dirty Data'!C37="M",'Dirty Data'!C37="m",'Dirty Data'!C37="Male",'Dirty Data'!C37="male"),"Male",OR('Dirty Data'!C37="F",'Dirty Data'!C37="f",'Dirty Data'!C37="Female",'Dirty Data'!C37="female",'Dirty Data'!C37="Femle"),"Female",TRUE(),"Unrecognized")</f>
        <v>Male</v>
      </c>
      <c r="D38" s="2" t="n">
        <f aca="false">'Dirty Data'!D37</f>
        <v>21</v>
      </c>
      <c r="E38" s="2" t="str">
        <f aca="false">_xlfn.IFS(D38="","Missing",D38&lt;0,"Invalid",D38&gt;120,"Invalid",TRUE(),"Valid")</f>
        <v>Valid</v>
      </c>
      <c r="F38" s="2" t="str">
        <f aca="false">IF(COUNTIFS('Dirty Data'!$B$2:$B$166,'Dirty Data'!B37,'Dirty Data'!$C$2:$C$166,'Dirty Data'!C37,'Dirty Data'!$D$2:$D$166,'Dirty Data'!D37)&gt;1,"Possible Duplicate","Unique")</f>
        <v>Unique</v>
      </c>
    </row>
    <row r="39" customFormat="false" ht="15" hidden="false" customHeight="false" outlineLevel="0" collapsed="false">
      <c r="A39" s="2" t="str">
        <f aca="false">'Dirty Data'!A38</f>
        <v>D0086</v>
      </c>
      <c r="B39" s="2" t="str">
        <f aca="false">TRIM(PROPER('Dirty Data'!B38))</f>
        <v>Eastfield</v>
      </c>
      <c r="C39" s="2" t="str">
        <f aca="false">_xlfn.IFS(OR('Dirty Data'!C38="M",'Dirty Data'!C38="m",'Dirty Data'!C38="Male",'Dirty Data'!C38="male"),"Male",OR('Dirty Data'!C38="F",'Dirty Data'!C38="f",'Dirty Data'!C38="Female",'Dirty Data'!C38="female",'Dirty Data'!C38="Femle"),"Female",TRUE(),"Unrecognized")</f>
        <v>Female</v>
      </c>
      <c r="D39" s="2" t="n">
        <f aca="false">'Dirty Data'!D38</f>
        <v>64</v>
      </c>
      <c r="E39" s="2" t="str">
        <f aca="false">_xlfn.IFS(D39="","Missing",D39&lt;0,"Invalid",D39&gt;120,"Invalid",TRUE(),"Valid")</f>
        <v>Valid</v>
      </c>
      <c r="F39" s="2" t="str">
        <f aca="false">IF(COUNTIFS('Dirty Data'!$B$2:$B$166,'Dirty Data'!B38,'Dirty Data'!$C$2:$C$166,'Dirty Data'!C38,'Dirty Data'!$D$2:$D$166,'Dirty Data'!D38)&gt;1,"Possible Duplicate","Unique")</f>
        <v>Possible Duplicate</v>
      </c>
    </row>
    <row r="40" customFormat="false" ht="15" hidden="false" customHeight="false" outlineLevel="0" collapsed="false">
      <c r="A40" s="2" t="str">
        <f aca="false">'Dirty Data'!A39</f>
        <v>D0053</v>
      </c>
      <c r="B40" s="2" t="str">
        <f aca="false">TRIM(PROPER('Dirty Data'!B39))</f>
        <v>Northgate</v>
      </c>
      <c r="C40" s="2" t="str">
        <f aca="false">_xlfn.IFS(OR('Dirty Data'!C39="M",'Dirty Data'!C39="m",'Dirty Data'!C39="Male",'Dirty Data'!C39="male"),"Male",OR('Dirty Data'!C39="F",'Dirty Data'!C39="f",'Dirty Data'!C39="Female",'Dirty Data'!C39="female",'Dirty Data'!C39="Femle"),"Female",TRUE(),"Unrecognized")</f>
        <v>Female</v>
      </c>
      <c r="D40" s="2" t="n">
        <f aca="false">'Dirty Data'!D39</f>
        <v>29</v>
      </c>
      <c r="E40" s="2" t="str">
        <f aca="false">_xlfn.IFS(D40="","Missing",D40&lt;0,"Invalid",D40&gt;120,"Invalid",TRUE(),"Valid")</f>
        <v>Valid</v>
      </c>
      <c r="F40" s="2" t="str">
        <f aca="false">IF(COUNTIFS('Dirty Data'!$B$2:$B$166,'Dirty Data'!B39,'Dirty Data'!$C$2:$C$166,'Dirty Data'!C39,'Dirty Data'!$D$2:$D$166,'Dirty Data'!D39)&gt;1,"Possible Duplicate","Unique")</f>
        <v>Unique</v>
      </c>
    </row>
    <row r="41" customFormat="false" ht="15" hidden="false" customHeight="false" outlineLevel="0" collapsed="false">
      <c r="A41" s="2" t="str">
        <f aca="false">'Dirty Data'!A40</f>
        <v>D0131</v>
      </c>
      <c r="B41" s="2" t="str">
        <f aca="false">TRIM(PROPER('Dirty Data'!B40))</f>
        <v>Eastfield</v>
      </c>
      <c r="C41" s="2" t="str">
        <f aca="false">_xlfn.IFS(OR('Dirty Data'!C40="M",'Dirty Data'!C40="m",'Dirty Data'!C40="Male",'Dirty Data'!C40="male"),"Male",OR('Dirty Data'!C40="F",'Dirty Data'!C40="f",'Dirty Data'!C40="Female",'Dirty Data'!C40="female",'Dirty Data'!C40="Femle"),"Female",TRUE(),"Unrecognized")</f>
        <v>Female</v>
      </c>
      <c r="D41" s="2" t="n">
        <f aca="false">'Dirty Data'!D40</f>
        <v>71</v>
      </c>
      <c r="E41" s="2" t="str">
        <f aca="false">_xlfn.IFS(D41="","Missing",D41&lt;0,"Invalid",D41&gt;120,"Invalid",TRUE(),"Valid")</f>
        <v>Valid</v>
      </c>
      <c r="F41" s="2" t="str">
        <f aca="false">IF(COUNTIFS('Dirty Data'!$B$2:$B$166,'Dirty Data'!B40,'Dirty Data'!$C$2:$C$166,'Dirty Data'!C40,'Dirty Data'!$D$2:$D$166,'Dirty Data'!D40)&gt;1,"Possible Duplicate","Unique")</f>
        <v>Unique</v>
      </c>
    </row>
    <row r="42" customFormat="false" ht="15" hidden="false" customHeight="false" outlineLevel="0" collapsed="false">
      <c r="A42" s="2" t="str">
        <f aca="false">'Dirty Data'!A41</f>
        <v>D0090</v>
      </c>
      <c r="B42" s="2" t="str">
        <f aca="false">TRIM(PROPER('Dirty Data'!B41))</f>
        <v>Northgate</v>
      </c>
      <c r="C42" s="2" t="str">
        <f aca="false">_xlfn.IFS(OR('Dirty Data'!C41="M",'Dirty Data'!C41="m",'Dirty Data'!C41="Male",'Dirty Data'!C41="male"),"Male",OR('Dirty Data'!C41="F",'Dirty Data'!C41="f",'Dirty Data'!C41="Female",'Dirty Data'!C41="female",'Dirty Data'!C41="Femle"),"Female",TRUE(),"Unrecognized")</f>
        <v>Male</v>
      </c>
      <c r="D42" s="2" t="n">
        <f aca="false">'Dirty Data'!D41</f>
        <v>66</v>
      </c>
      <c r="E42" s="2" t="str">
        <f aca="false">_xlfn.IFS(D42="","Missing",D42&lt;0,"Invalid",D42&gt;120,"Invalid",TRUE(),"Valid")</f>
        <v>Valid</v>
      </c>
      <c r="F42" s="2" t="str">
        <f aca="false">IF(COUNTIFS('Dirty Data'!$B$2:$B$166,'Dirty Data'!B41,'Dirty Data'!$C$2:$C$166,'Dirty Data'!C41,'Dirty Data'!$D$2:$D$166,'Dirty Data'!D41)&gt;1,"Possible Duplicate","Unique")</f>
        <v>Unique</v>
      </c>
    </row>
    <row r="43" customFormat="false" ht="15" hidden="false" customHeight="false" outlineLevel="0" collapsed="false">
      <c r="A43" s="2" t="str">
        <f aca="false">'Dirty Data'!A42</f>
        <v>D0020</v>
      </c>
      <c r="B43" s="2" t="str">
        <f aca="false">TRIM(PROPER('Dirty Data'!B42))</f>
        <v>Eastfield</v>
      </c>
      <c r="C43" s="2" t="str">
        <f aca="false">_xlfn.IFS(OR('Dirty Data'!C42="M",'Dirty Data'!C42="m",'Dirty Data'!C42="Male",'Dirty Data'!C42="male"),"Male",OR('Dirty Data'!C42="F",'Dirty Data'!C42="f",'Dirty Data'!C42="Female",'Dirty Data'!C42="female",'Dirty Data'!C42="Femle"),"Female",TRUE(),"Unrecognized")</f>
        <v>Male</v>
      </c>
      <c r="D43" s="2" t="n">
        <f aca="false">'Dirty Data'!D42</f>
        <v>63</v>
      </c>
      <c r="E43" s="2" t="str">
        <f aca="false">_xlfn.IFS(D43="","Missing",D43&lt;0,"Invalid",D43&gt;120,"Invalid",TRUE(),"Valid")</f>
        <v>Valid</v>
      </c>
      <c r="F43" s="2" t="str">
        <f aca="false">IF(COUNTIFS('Dirty Data'!$B$2:$B$166,'Dirty Data'!B42,'Dirty Data'!$C$2:$C$166,'Dirty Data'!C42,'Dirty Data'!$D$2:$D$166,'Dirty Data'!D42)&gt;1,"Possible Duplicate","Unique")</f>
        <v>Unique</v>
      </c>
    </row>
    <row r="44" customFormat="false" ht="15" hidden="false" customHeight="false" outlineLevel="0" collapsed="false">
      <c r="A44" s="2" t="str">
        <f aca="false">'Dirty Data'!A43</f>
        <v>D0055</v>
      </c>
      <c r="B44" s="2" t="str">
        <f aca="false">TRIM(PROPER('Dirty Data'!B43))</f>
        <v>Northgate</v>
      </c>
      <c r="C44" s="2" t="str">
        <f aca="false">_xlfn.IFS(OR('Dirty Data'!C43="M",'Dirty Data'!C43="m",'Dirty Data'!C43="Male",'Dirty Data'!C43="male"),"Male",OR('Dirty Data'!C43="F",'Dirty Data'!C43="f",'Dirty Data'!C43="Female",'Dirty Data'!C43="female",'Dirty Data'!C43="Femle"),"Female",TRUE(),"Unrecognized")</f>
        <v>Male</v>
      </c>
      <c r="D44" s="2" t="n">
        <f aca="false">'Dirty Data'!D43</f>
        <v>36</v>
      </c>
      <c r="E44" s="2" t="str">
        <f aca="false">_xlfn.IFS(D44="","Missing",D44&lt;0,"Invalid",D44&gt;120,"Invalid",TRUE(),"Valid")</f>
        <v>Valid</v>
      </c>
      <c r="F44" s="2" t="str">
        <f aca="false">IF(COUNTIFS('Dirty Data'!$B$2:$B$166,'Dirty Data'!B43,'Dirty Data'!$C$2:$C$166,'Dirty Data'!C43,'Dirty Data'!$D$2:$D$166,'Dirty Data'!D43)&gt;1,"Possible Duplicate","Unique")</f>
        <v>Unique</v>
      </c>
    </row>
    <row r="45" customFormat="false" ht="15" hidden="false" customHeight="false" outlineLevel="0" collapsed="false">
      <c r="A45" s="2" t="str">
        <f aca="false">'Dirty Data'!A44</f>
        <v>D0126</v>
      </c>
      <c r="B45" s="2" t="str">
        <f aca="false">TRIM(PROPER('Dirty Data'!B44))</f>
        <v>Highland</v>
      </c>
      <c r="C45" s="2" t="str">
        <f aca="false">_xlfn.IFS(OR('Dirty Data'!C44="M",'Dirty Data'!C44="m",'Dirty Data'!C44="Male",'Dirty Data'!C44="male"),"Male",OR('Dirty Data'!C44="F",'Dirty Data'!C44="f",'Dirty Data'!C44="Female",'Dirty Data'!C44="female",'Dirty Data'!C44="Femle"),"Female",TRUE(),"Unrecognized")</f>
        <v>Female</v>
      </c>
      <c r="D45" s="2" t="n">
        <f aca="false">'Dirty Data'!D44</f>
        <v>23</v>
      </c>
      <c r="E45" s="2" t="str">
        <f aca="false">_xlfn.IFS(D45="","Missing",D45&lt;0,"Invalid",D45&gt;120,"Invalid",TRUE(),"Valid")</f>
        <v>Valid</v>
      </c>
      <c r="F45" s="2" t="str">
        <f aca="false">IF(COUNTIFS('Dirty Data'!$B$2:$B$166,'Dirty Data'!B44,'Dirty Data'!$C$2:$C$166,'Dirty Data'!C44,'Dirty Data'!$D$2:$D$166,'Dirty Data'!D44)&gt;1,"Possible Duplicate","Unique")</f>
        <v>Unique</v>
      </c>
    </row>
    <row r="46" customFormat="false" ht="15" hidden="false" customHeight="false" outlineLevel="0" collapsed="false">
      <c r="A46" s="2" t="str">
        <f aca="false">'Dirty Data'!A45</f>
        <v>D0140</v>
      </c>
      <c r="B46" s="2" t="str">
        <f aca="false">TRIM(PROPER('Dirty Data'!B45))</f>
        <v>Highland</v>
      </c>
      <c r="C46" s="2" t="str">
        <f aca="false">_xlfn.IFS(OR('Dirty Data'!C45="M",'Dirty Data'!C45="m",'Dirty Data'!C45="Male",'Dirty Data'!C45="male"),"Male",OR('Dirty Data'!C45="F",'Dirty Data'!C45="f",'Dirty Data'!C45="Female",'Dirty Data'!C45="female",'Dirty Data'!C45="Femle"),"Female",TRUE(),"Unrecognized")</f>
        <v>Female</v>
      </c>
      <c r="D46" s="2" t="n">
        <f aca="false">'Dirty Data'!D45</f>
        <v>68</v>
      </c>
      <c r="E46" s="2" t="str">
        <f aca="false">_xlfn.IFS(D46="","Missing",D46&lt;0,"Invalid",D46&gt;120,"Invalid",TRUE(),"Valid")</f>
        <v>Valid</v>
      </c>
      <c r="F46" s="2" t="str">
        <f aca="false">IF(COUNTIFS('Dirty Data'!$B$2:$B$166,'Dirty Data'!B45,'Dirty Data'!$C$2:$C$166,'Dirty Data'!C45,'Dirty Data'!$D$2:$D$166,'Dirty Data'!D45)&gt;1,"Possible Duplicate","Unique")</f>
        <v>Unique</v>
      </c>
    </row>
    <row r="47" customFormat="false" ht="15" hidden="false" customHeight="false" outlineLevel="0" collapsed="false">
      <c r="A47" s="2" t="str">
        <f aca="false">'Dirty Data'!A46</f>
        <v>D0036</v>
      </c>
      <c r="B47" s="2" t="str">
        <f aca="false">TRIM(PROPER('Dirty Data'!B46))</f>
        <v>Riverside</v>
      </c>
      <c r="C47" s="2" t="str">
        <f aca="false">_xlfn.IFS(OR('Dirty Data'!C46="M",'Dirty Data'!C46="m",'Dirty Data'!C46="Male",'Dirty Data'!C46="male"),"Male",OR('Dirty Data'!C46="F",'Dirty Data'!C46="f",'Dirty Data'!C46="Female",'Dirty Data'!C46="female",'Dirty Data'!C46="Femle"),"Female",TRUE(),"Unrecognized")</f>
        <v>Female</v>
      </c>
      <c r="D47" s="2" t="n">
        <f aca="false">'Dirty Data'!D46</f>
        <v>0</v>
      </c>
      <c r="E47" s="2" t="str">
        <f aca="false">_xlfn.IFS(D47="","Missing",D47&lt;0,"Invalid",D47&gt;120,"Invalid",TRUE(),"Valid")</f>
        <v>Missing</v>
      </c>
      <c r="F47" s="2" t="str">
        <f aca="false">IF(COUNTIFS('Dirty Data'!$B$2:$B$166,'Dirty Data'!B46,'Dirty Data'!$C$2:$C$166,'Dirty Data'!C46,'Dirty Data'!$D$2:$D$166,'Dirty Data'!D46)&gt;1,"Possible Duplicate","Unique")</f>
        <v>Unique</v>
      </c>
    </row>
    <row r="48" customFormat="false" ht="15" hidden="false" customHeight="false" outlineLevel="0" collapsed="false">
      <c r="A48" s="2" t="str">
        <f aca="false">'Dirty Data'!A47</f>
        <v>D0139</v>
      </c>
      <c r="B48" s="2" t="str">
        <f aca="false">TRIM(PROPER('Dirty Data'!B47))</f>
        <v>Northgate</v>
      </c>
      <c r="C48" s="2" t="str">
        <f aca="false">_xlfn.IFS(OR('Dirty Data'!C47="M",'Dirty Data'!C47="m",'Dirty Data'!C47="Male",'Dirty Data'!C47="male"),"Male",OR('Dirty Data'!C47="F",'Dirty Data'!C47="f",'Dirty Data'!C47="Female",'Dirty Data'!C47="female",'Dirty Data'!C47="Femle"),"Female",TRUE(),"Unrecognized")</f>
        <v>Female</v>
      </c>
      <c r="D48" s="2" t="n">
        <f aca="false">'Dirty Data'!D47</f>
        <v>35</v>
      </c>
      <c r="E48" s="2" t="str">
        <f aca="false">_xlfn.IFS(D48="","Missing",D48&lt;0,"Invalid",D48&gt;120,"Invalid",TRUE(),"Valid")</f>
        <v>Valid</v>
      </c>
      <c r="F48" s="2" t="str">
        <f aca="false">IF(COUNTIFS('Dirty Data'!$B$2:$B$166,'Dirty Data'!B47,'Dirty Data'!$C$2:$C$166,'Dirty Data'!C47,'Dirty Data'!$D$2:$D$166,'Dirty Data'!D47)&gt;1,"Possible Duplicate","Unique")</f>
        <v>Unique</v>
      </c>
    </row>
    <row r="49" customFormat="false" ht="15" hidden="false" customHeight="false" outlineLevel="0" collapsed="false">
      <c r="A49" s="2" t="str">
        <f aca="false">'Dirty Data'!A48</f>
        <v>D0119</v>
      </c>
      <c r="B49" s="2" t="str">
        <f aca="false">TRIM(PROPER('Dirty Data'!B48))</f>
        <v>Riverside</v>
      </c>
      <c r="C49" s="2" t="str">
        <f aca="false">_xlfn.IFS(OR('Dirty Data'!C48="M",'Dirty Data'!C48="m",'Dirty Data'!C48="Male",'Dirty Data'!C48="male"),"Male",OR('Dirty Data'!C48="F",'Dirty Data'!C48="f",'Dirty Data'!C48="Female",'Dirty Data'!C48="female",'Dirty Data'!C48="Femle"),"Female",TRUE(),"Unrecognized")</f>
        <v>Male</v>
      </c>
      <c r="D49" s="2" t="n">
        <f aca="false">'Dirty Data'!D48</f>
        <v>69</v>
      </c>
      <c r="E49" s="2" t="str">
        <f aca="false">_xlfn.IFS(D49="","Missing",D49&lt;0,"Invalid",D49&gt;120,"Invalid",TRUE(),"Valid")</f>
        <v>Valid</v>
      </c>
      <c r="F49" s="2" t="str">
        <f aca="false">IF(COUNTIFS('Dirty Data'!$B$2:$B$166,'Dirty Data'!B48,'Dirty Data'!$C$2:$C$166,'Dirty Data'!C48,'Dirty Data'!$D$2:$D$166,'Dirty Data'!D48)&gt;1,"Possible Duplicate","Unique")</f>
        <v>Unique</v>
      </c>
    </row>
    <row r="50" customFormat="false" ht="15" hidden="false" customHeight="false" outlineLevel="0" collapsed="false">
      <c r="A50" s="2" t="str">
        <f aca="false">'Dirty Data'!A49</f>
        <v>D0148</v>
      </c>
      <c r="B50" s="2" t="str">
        <f aca="false">TRIM(PROPER('Dirty Data'!B49))</f>
        <v>Riverside</v>
      </c>
      <c r="C50" s="2" t="str">
        <f aca="false">_xlfn.IFS(OR('Dirty Data'!C49="M",'Dirty Data'!C49="m",'Dirty Data'!C49="Male",'Dirty Data'!C49="male"),"Male",OR('Dirty Data'!C49="F",'Dirty Data'!C49="f",'Dirty Data'!C49="Female",'Dirty Data'!C49="female",'Dirty Data'!C49="Femle"),"Female",TRUE(),"Unrecognized")</f>
        <v>Female</v>
      </c>
      <c r="D50" s="2" t="n">
        <f aca="false">'Dirty Data'!D49</f>
        <v>15</v>
      </c>
      <c r="E50" s="2" t="str">
        <f aca="false">_xlfn.IFS(D50="","Missing",D50&lt;0,"Invalid",D50&gt;120,"Invalid",TRUE(),"Valid")</f>
        <v>Valid</v>
      </c>
      <c r="F50" s="2" t="str">
        <f aca="false">IF(COUNTIFS('Dirty Data'!$B$2:$B$166,'Dirty Data'!B49,'Dirty Data'!$C$2:$C$166,'Dirty Data'!C49,'Dirty Data'!$D$2:$D$166,'Dirty Data'!D49)&gt;1,"Possible Duplicate","Unique")</f>
        <v>Unique</v>
      </c>
    </row>
    <row r="51" customFormat="false" ht="15" hidden="false" customHeight="false" outlineLevel="0" collapsed="false">
      <c r="A51" s="2" t="str">
        <f aca="false">'Dirty Data'!A50</f>
        <v>D0001</v>
      </c>
      <c r="B51" s="2" t="str">
        <f aca="false">TRIM(PROPER('Dirty Data'!B50))</f>
        <v>Riverside</v>
      </c>
      <c r="C51" s="2" t="str">
        <f aca="false">_xlfn.IFS(OR('Dirty Data'!C50="M",'Dirty Data'!C50="m",'Dirty Data'!C50="Male",'Dirty Data'!C50="male"),"Male",OR('Dirty Data'!C50="F",'Dirty Data'!C50="f",'Dirty Data'!C50="Female",'Dirty Data'!C50="female",'Dirty Data'!C50="Femle"),"Female",TRUE(),"Unrecognized")</f>
        <v>Male</v>
      </c>
      <c r="D51" s="2" t="n">
        <f aca="false">'Dirty Data'!D50</f>
        <v>50</v>
      </c>
      <c r="E51" s="2" t="str">
        <f aca="false">_xlfn.IFS(D51="","Missing",D51&lt;0,"Invalid",D51&gt;120,"Invalid",TRUE(),"Valid")</f>
        <v>Valid</v>
      </c>
      <c r="F51" s="2" t="str">
        <f aca="false">IF(COUNTIFS('Dirty Data'!$B$2:$B$166,'Dirty Data'!B50,'Dirty Data'!$C$2:$C$166,'Dirty Data'!C50,'Dirty Data'!$D$2:$D$166,'Dirty Data'!D50)&gt;1,"Possible Duplicate","Unique")</f>
        <v>Unique</v>
      </c>
    </row>
    <row r="52" customFormat="false" ht="15" hidden="false" customHeight="false" outlineLevel="0" collapsed="false">
      <c r="A52" s="2" t="str">
        <f aca="false">'Dirty Data'!A51</f>
        <v>D0029</v>
      </c>
      <c r="B52" s="2" t="str">
        <f aca="false">TRIM(PROPER('Dirty Data'!B51))</f>
        <v>Highland</v>
      </c>
      <c r="C52" s="2" t="str">
        <f aca="false">_xlfn.IFS(OR('Dirty Data'!C51="M",'Dirty Data'!C51="m",'Dirty Data'!C51="Male",'Dirty Data'!C51="male"),"Male",OR('Dirty Data'!C51="F",'Dirty Data'!C51="f",'Dirty Data'!C51="Female",'Dirty Data'!C51="female",'Dirty Data'!C51="Femle"),"Female",TRUE(),"Unrecognized")</f>
        <v>Male</v>
      </c>
      <c r="D52" s="2" t="n">
        <f aca="false">'Dirty Data'!D51</f>
        <v>43</v>
      </c>
      <c r="E52" s="2" t="str">
        <f aca="false">_xlfn.IFS(D52="","Missing",D52&lt;0,"Invalid",D52&gt;120,"Invalid",TRUE(),"Valid")</f>
        <v>Valid</v>
      </c>
      <c r="F52" s="2" t="str">
        <f aca="false">IF(COUNTIFS('Dirty Data'!$B$2:$B$166,'Dirty Data'!B51,'Dirty Data'!$C$2:$C$166,'Dirty Data'!C51,'Dirty Data'!$D$2:$D$166,'Dirty Data'!D51)&gt;1,"Possible Duplicate","Unique")</f>
        <v>Possible Duplicate</v>
      </c>
    </row>
    <row r="53" customFormat="false" ht="15" hidden="false" customHeight="false" outlineLevel="0" collapsed="false">
      <c r="A53" s="2" t="str">
        <f aca="false">'Dirty Data'!A52</f>
        <v>D0076</v>
      </c>
      <c r="B53" s="2" t="str">
        <f aca="false">TRIM(PROPER('Dirty Data'!B52))</f>
        <v>Riverside</v>
      </c>
      <c r="C53" s="2" t="str">
        <f aca="false">_xlfn.IFS(OR('Dirty Data'!C52="M",'Dirty Data'!C52="m",'Dirty Data'!C52="Male",'Dirty Data'!C52="male"),"Male",OR('Dirty Data'!C52="F",'Dirty Data'!C52="f",'Dirty Data'!C52="Female",'Dirty Data'!C52="female",'Dirty Data'!C52="Femle"),"Female",TRUE(),"Unrecognized")</f>
        <v>Male</v>
      </c>
      <c r="D53" s="2" t="n">
        <f aca="false">'Dirty Data'!D52</f>
        <v>18</v>
      </c>
      <c r="E53" s="2" t="str">
        <f aca="false">_xlfn.IFS(D53="","Missing",D53&lt;0,"Invalid",D53&gt;120,"Invalid",TRUE(),"Valid")</f>
        <v>Valid</v>
      </c>
      <c r="F53" s="2" t="str">
        <f aca="false">IF(COUNTIFS('Dirty Data'!$B$2:$B$166,'Dirty Data'!B52,'Dirty Data'!$C$2:$C$166,'Dirty Data'!C52,'Dirty Data'!$D$2:$D$166,'Dirty Data'!D52)&gt;1,"Possible Duplicate","Unique")</f>
        <v>Possible Duplicate</v>
      </c>
    </row>
    <row r="54" customFormat="false" ht="15" hidden="false" customHeight="false" outlineLevel="0" collapsed="false">
      <c r="A54" s="2" t="str">
        <f aca="false">'Dirty Data'!A53</f>
        <v>D0082</v>
      </c>
      <c r="B54" s="2" t="str">
        <f aca="false">TRIM(PROPER('Dirty Data'!B53))</f>
        <v>Central</v>
      </c>
      <c r="C54" s="2" t="str">
        <f aca="false">_xlfn.IFS(OR('Dirty Data'!C53="M",'Dirty Data'!C53="m",'Dirty Data'!C53="Male",'Dirty Data'!C53="male"),"Male",OR('Dirty Data'!C53="F",'Dirty Data'!C53="f",'Dirty Data'!C53="Female",'Dirty Data'!C53="female",'Dirty Data'!C53="Femle"),"Female",TRUE(),"Unrecognized")</f>
        <v>Female</v>
      </c>
      <c r="D54" s="2" t="n">
        <f aca="false">'Dirty Data'!D53</f>
        <v>67</v>
      </c>
      <c r="E54" s="2" t="str">
        <f aca="false">_xlfn.IFS(D54="","Missing",D54&lt;0,"Invalid",D54&gt;120,"Invalid",TRUE(),"Valid")</f>
        <v>Valid</v>
      </c>
      <c r="F54" s="2" t="str">
        <f aca="false">IF(COUNTIFS('Dirty Data'!$B$2:$B$166,'Dirty Data'!B53,'Dirty Data'!$C$2:$C$166,'Dirty Data'!C53,'Dirty Data'!$D$2:$D$166,'Dirty Data'!D53)&gt;1,"Possible Duplicate","Unique")</f>
        <v>Unique</v>
      </c>
    </row>
    <row r="55" customFormat="false" ht="15" hidden="false" customHeight="false" outlineLevel="0" collapsed="false">
      <c r="A55" s="2" t="str">
        <f aca="false">'Dirty Data'!A54</f>
        <v>D0128</v>
      </c>
      <c r="B55" s="2" t="str">
        <f aca="false">TRIM(PROPER('Dirty Data'!B54))</f>
        <v>Northgate</v>
      </c>
      <c r="C55" s="2" t="str">
        <f aca="false">_xlfn.IFS(OR('Dirty Data'!C54="M",'Dirty Data'!C54="m",'Dirty Data'!C54="Male",'Dirty Data'!C54="male"),"Male",OR('Dirty Data'!C54="F",'Dirty Data'!C54="f",'Dirty Data'!C54="Female",'Dirty Data'!C54="female",'Dirty Data'!C54="Femle"),"Female",TRUE(),"Unrecognized")</f>
        <v>Male</v>
      </c>
      <c r="D55" s="2" t="n">
        <f aca="false">'Dirty Data'!D54</f>
        <v>60</v>
      </c>
      <c r="E55" s="2" t="str">
        <f aca="false">_xlfn.IFS(D55="","Missing",D55&lt;0,"Invalid",D55&gt;120,"Invalid",TRUE(),"Valid")</f>
        <v>Valid</v>
      </c>
      <c r="F55" s="2" t="str">
        <f aca="false">IF(COUNTIFS('Dirty Data'!$B$2:$B$166,'Dirty Data'!B54,'Dirty Data'!$C$2:$C$166,'Dirty Data'!C54,'Dirty Data'!$D$2:$D$166,'Dirty Data'!D54)&gt;1,"Possible Duplicate","Unique")</f>
        <v>Unique</v>
      </c>
    </row>
    <row r="56" customFormat="false" ht="15" hidden="false" customHeight="false" outlineLevel="0" collapsed="false">
      <c r="A56" s="2" t="str">
        <f aca="false">'Dirty Data'!A55</f>
        <v>D0079</v>
      </c>
      <c r="B56" s="2" t="str">
        <f aca="false">TRIM(PROPER('Dirty Data'!B55))</f>
        <v>Northgate</v>
      </c>
      <c r="C56" s="2" t="str">
        <f aca="false">_xlfn.IFS(OR('Dirty Data'!C55="M",'Dirty Data'!C55="m",'Dirty Data'!C55="Male",'Dirty Data'!C55="male"),"Male",OR('Dirty Data'!C55="F",'Dirty Data'!C55="f",'Dirty Data'!C55="Female",'Dirty Data'!C55="female",'Dirty Data'!C55="Femle"),"Female",TRUE(),"Unrecognized")</f>
        <v>Female</v>
      </c>
      <c r="D56" s="2" t="n">
        <f aca="false">'Dirty Data'!D55</f>
        <v>2</v>
      </c>
      <c r="E56" s="2" t="str">
        <f aca="false">_xlfn.IFS(D56="","Missing",D56&lt;0,"Invalid",D56&gt;120,"Invalid",TRUE(),"Valid")</f>
        <v>Valid</v>
      </c>
      <c r="F56" s="2" t="str">
        <f aca="false">IF(COUNTIFS('Dirty Data'!$B$2:$B$166,'Dirty Data'!B55,'Dirty Data'!$C$2:$C$166,'Dirty Data'!C55,'Dirty Data'!$D$2:$D$166,'Dirty Data'!D55)&gt;1,"Possible Duplicate","Unique")</f>
        <v>Unique</v>
      </c>
    </row>
    <row r="57" customFormat="false" ht="15" hidden="false" customHeight="false" outlineLevel="0" collapsed="false">
      <c r="A57" s="2" t="str">
        <f aca="false">'Dirty Data'!A56</f>
        <v>D0099</v>
      </c>
      <c r="B57" s="2" t="str">
        <f aca="false">TRIM(PROPER('Dirty Data'!B56))</f>
        <v>Eastfield</v>
      </c>
      <c r="C57" s="2" t="str">
        <f aca="false">_xlfn.IFS(OR('Dirty Data'!C56="M",'Dirty Data'!C56="m",'Dirty Data'!C56="Male",'Dirty Data'!C56="male"),"Male",OR('Dirty Data'!C56="F",'Dirty Data'!C56="f",'Dirty Data'!C56="Female",'Dirty Data'!C56="female",'Dirty Data'!C56="Femle"),"Female",TRUE(),"Unrecognized")</f>
        <v>Female</v>
      </c>
      <c r="D57" s="2" t="n">
        <f aca="false">'Dirty Data'!D56</f>
        <v>0</v>
      </c>
      <c r="E57" s="2" t="str">
        <f aca="false">_xlfn.IFS(D57="","Missing",D57&lt;0,"Invalid",D57&gt;120,"Invalid",TRUE(),"Valid")</f>
        <v>Valid</v>
      </c>
      <c r="F57" s="2" t="str">
        <f aca="false">IF(COUNTIFS('Dirty Data'!$B$2:$B$166,'Dirty Data'!B56,'Dirty Data'!$C$2:$C$166,'Dirty Data'!C56,'Dirty Data'!$D$2:$D$166,'Dirty Data'!D56)&gt;1,"Possible Duplicate","Unique")</f>
        <v>Possible Duplicate</v>
      </c>
    </row>
    <row r="58" customFormat="false" ht="15" hidden="false" customHeight="false" outlineLevel="0" collapsed="false">
      <c r="A58" s="2" t="str">
        <f aca="false">'Dirty Data'!A57</f>
        <v>D0060</v>
      </c>
      <c r="B58" s="2" t="str">
        <f aca="false">TRIM(PROPER('Dirty Data'!B57))</f>
        <v>Central</v>
      </c>
      <c r="C58" s="2" t="str">
        <f aca="false">_xlfn.IFS(OR('Dirty Data'!C57="M",'Dirty Data'!C57="m",'Dirty Data'!C57="Male",'Dirty Data'!C57="male"),"Male",OR('Dirty Data'!C57="F",'Dirty Data'!C57="f",'Dirty Data'!C57="Female",'Dirty Data'!C57="female",'Dirty Data'!C57="Femle"),"Female",TRUE(),"Unrecognized")</f>
        <v>Female</v>
      </c>
      <c r="D58" s="2" t="n">
        <f aca="false">'Dirty Data'!D57</f>
        <v>87</v>
      </c>
      <c r="E58" s="2" t="str">
        <f aca="false">_xlfn.IFS(D58="","Missing",D58&lt;0,"Invalid",D58&gt;120,"Invalid",TRUE(),"Valid")</f>
        <v>Valid</v>
      </c>
      <c r="F58" s="2" t="str">
        <f aca="false">IF(COUNTIFS('Dirty Data'!$B$2:$B$166,'Dirty Data'!B57,'Dirty Data'!$C$2:$C$166,'Dirty Data'!C57,'Dirty Data'!$D$2:$D$166,'Dirty Data'!D57)&gt;1,"Possible Duplicate","Unique")</f>
        <v>Unique</v>
      </c>
    </row>
    <row r="59" customFormat="false" ht="15" hidden="false" customHeight="false" outlineLevel="0" collapsed="false">
      <c r="A59" s="2" t="str">
        <f aca="false">'Dirty Data'!A58</f>
        <v>D0074</v>
      </c>
      <c r="B59" s="2" t="str">
        <f aca="false">TRIM(PROPER('Dirty Data'!B58))</f>
        <v>Central</v>
      </c>
      <c r="C59" s="2" t="str">
        <f aca="false">_xlfn.IFS(OR('Dirty Data'!C58="M",'Dirty Data'!C58="m",'Dirty Data'!C58="Male",'Dirty Data'!C58="male"),"Male",OR('Dirty Data'!C58="F",'Dirty Data'!C58="f",'Dirty Data'!C58="Female",'Dirty Data'!C58="female",'Dirty Data'!C58="Femle"),"Female",TRUE(),"Unrecognized")</f>
        <v>Female</v>
      </c>
      <c r="D59" s="2" t="n">
        <f aca="false">'Dirty Data'!D58</f>
        <v>62</v>
      </c>
      <c r="E59" s="2" t="str">
        <f aca="false">_xlfn.IFS(D59="","Missing",D59&lt;0,"Invalid",D59&gt;120,"Invalid",TRUE(),"Valid")</f>
        <v>Valid</v>
      </c>
      <c r="F59" s="2" t="str">
        <f aca="false">IF(COUNTIFS('Dirty Data'!$B$2:$B$166,'Dirty Data'!B58,'Dirty Data'!$C$2:$C$166,'Dirty Data'!C58,'Dirty Data'!$D$2:$D$166,'Dirty Data'!D58)&gt;1,"Possible Duplicate","Unique")</f>
        <v>Unique</v>
      </c>
    </row>
    <row r="60" customFormat="false" ht="15" hidden="false" customHeight="false" outlineLevel="0" collapsed="false">
      <c r="A60" s="2" t="str">
        <f aca="false">'Dirty Data'!A59</f>
        <v>D0016</v>
      </c>
      <c r="B60" s="2" t="str">
        <f aca="false">TRIM(PROPER('Dirty Data'!B59))</f>
        <v>Northgate</v>
      </c>
      <c r="C60" s="2" t="str">
        <f aca="false">_xlfn.IFS(OR('Dirty Data'!C59="M",'Dirty Data'!C59="m",'Dirty Data'!C59="Male",'Dirty Data'!C59="male"),"Male",OR('Dirty Data'!C59="F",'Dirty Data'!C59="f",'Dirty Data'!C59="Female",'Dirty Data'!C59="female",'Dirty Data'!C59="Femle"),"Female",TRUE(),"Unrecognized")</f>
        <v>Male</v>
      </c>
      <c r="D60" s="2" t="n">
        <f aca="false">'Dirty Data'!D59</f>
        <v>74</v>
      </c>
      <c r="E60" s="2" t="str">
        <f aca="false">_xlfn.IFS(D60="","Missing",D60&lt;0,"Invalid",D60&gt;120,"Invalid",TRUE(),"Valid")</f>
        <v>Valid</v>
      </c>
      <c r="F60" s="2" t="str">
        <f aca="false">IF(COUNTIFS('Dirty Data'!$B$2:$B$166,'Dirty Data'!B59,'Dirty Data'!$C$2:$C$166,'Dirty Data'!C59,'Dirty Data'!$D$2:$D$166,'Dirty Data'!D59)&gt;1,"Possible Duplicate","Unique")</f>
        <v>Unique</v>
      </c>
    </row>
    <row r="61" customFormat="false" ht="15" hidden="false" customHeight="false" outlineLevel="0" collapsed="false">
      <c r="A61" s="2" t="str">
        <f aca="false">'Dirty Data'!A60</f>
        <v>D0118</v>
      </c>
      <c r="B61" s="2" t="str">
        <f aca="false">TRIM(PROPER('Dirty Data'!B60))</f>
        <v>Northgate</v>
      </c>
      <c r="C61" s="2" t="str">
        <f aca="false">_xlfn.IFS(OR('Dirty Data'!C60="M",'Dirty Data'!C60="m",'Dirty Data'!C60="Male",'Dirty Data'!C60="male"),"Male",OR('Dirty Data'!C60="F",'Dirty Data'!C60="f",'Dirty Data'!C60="Female",'Dirty Data'!C60="female",'Dirty Data'!C60="Femle"),"Female",TRUE(),"Unrecognized")</f>
        <v>Female</v>
      </c>
      <c r="D61" s="2" t="n">
        <f aca="false">'Dirty Data'!D60</f>
        <v>75</v>
      </c>
      <c r="E61" s="2" t="str">
        <f aca="false">_xlfn.IFS(D61="","Missing",D61&lt;0,"Invalid",D61&gt;120,"Invalid",TRUE(),"Valid")</f>
        <v>Valid</v>
      </c>
      <c r="F61" s="2" t="str">
        <f aca="false">IF(COUNTIFS('Dirty Data'!$B$2:$B$166,'Dirty Data'!B60,'Dirty Data'!$C$2:$C$166,'Dirty Data'!C60,'Dirty Data'!$D$2:$D$166,'Dirty Data'!D60)&gt;1,"Possible Duplicate","Unique")</f>
        <v>Possible Duplicate</v>
      </c>
    </row>
    <row r="62" customFormat="false" ht="15" hidden="false" customHeight="false" outlineLevel="0" collapsed="false">
      <c r="A62" s="2" t="str">
        <f aca="false">'Dirty Data'!A61</f>
        <v>D0144</v>
      </c>
      <c r="B62" s="2" t="str">
        <f aca="false">TRIM(PROPER('Dirty Data'!B61))</f>
        <v>Northgate</v>
      </c>
      <c r="C62" s="2" t="str">
        <f aca="false">_xlfn.IFS(OR('Dirty Data'!C61="M",'Dirty Data'!C61="m",'Dirty Data'!C61="Male",'Dirty Data'!C61="male"),"Male",OR('Dirty Data'!C61="F",'Dirty Data'!C61="f",'Dirty Data'!C61="Female",'Dirty Data'!C61="female",'Dirty Data'!C61="Femle"),"Female",TRUE(),"Unrecognized")</f>
        <v>Female</v>
      </c>
      <c r="D62" s="2" t="n">
        <f aca="false">'Dirty Data'!D61</f>
        <v>15</v>
      </c>
      <c r="E62" s="2" t="str">
        <f aca="false">_xlfn.IFS(D62="","Missing",D62&lt;0,"Invalid",D62&gt;120,"Invalid",TRUE(),"Valid")</f>
        <v>Valid</v>
      </c>
      <c r="F62" s="2" t="str">
        <f aca="false">IF(COUNTIFS('Dirty Data'!$B$2:$B$166,'Dirty Data'!B61,'Dirty Data'!$C$2:$C$166,'Dirty Data'!C61,'Dirty Data'!$D$2:$D$166,'Dirty Data'!D61)&gt;1,"Possible Duplicate","Unique")</f>
        <v>Possible Duplicate</v>
      </c>
    </row>
    <row r="63" customFormat="false" ht="15" hidden="false" customHeight="false" outlineLevel="0" collapsed="false">
      <c r="A63" s="2" t="str">
        <f aca="false">'Dirty Data'!A62</f>
        <v>D0043</v>
      </c>
      <c r="B63" s="2" t="str">
        <f aca="false">TRIM(PROPER('Dirty Data'!B62))</f>
        <v>Highland</v>
      </c>
      <c r="C63" s="2" t="str">
        <f aca="false">_xlfn.IFS(OR('Dirty Data'!C62="M",'Dirty Data'!C62="m",'Dirty Data'!C62="Male",'Dirty Data'!C62="male"),"Male",OR('Dirty Data'!C62="F",'Dirty Data'!C62="f",'Dirty Data'!C62="Female",'Dirty Data'!C62="female",'Dirty Data'!C62="Femle"),"Female",TRUE(),"Unrecognized")</f>
        <v>Male</v>
      </c>
      <c r="D63" s="2" t="n">
        <f aca="false">'Dirty Data'!D62</f>
        <v>27</v>
      </c>
      <c r="E63" s="2" t="str">
        <f aca="false">_xlfn.IFS(D63="","Missing",D63&lt;0,"Invalid",D63&gt;120,"Invalid",TRUE(),"Valid")</f>
        <v>Valid</v>
      </c>
      <c r="F63" s="2" t="str">
        <f aca="false">IF(COUNTIFS('Dirty Data'!$B$2:$B$166,'Dirty Data'!B62,'Dirty Data'!$C$2:$C$166,'Dirty Data'!C62,'Dirty Data'!$D$2:$D$166,'Dirty Data'!D62)&gt;1,"Possible Duplicate","Unique")</f>
        <v>Possible Duplicate</v>
      </c>
    </row>
    <row r="64" customFormat="false" ht="15" hidden="false" customHeight="false" outlineLevel="0" collapsed="false">
      <c r="A64" s="2" t="str">
        <f aca="false">'Dirty Data'!A63</f>
        <v>D0130</v>
      </c>
      <c r="B64" s="2" t="str">
        <f aca="false">TRIM(PROPER('Dirty Data'!B63))</f>
        <v>Eastfield</v>
      </c>
      <c r="C64" s="2" t="str">
        <f aca="false">_xlfn.IFS(OR('Dirty Data'!C63="M",'Dirty Data'!C63="m",'Dirty Data'!C63="Male",'Dirty Data'!C63="male"),"Male",OR('Dirty Data'!C63="F",'Dirty Data'!C63="f",'Dirty Data'!C63="Female",'Dirty Data'!C63="female",'Dirty Data'!C63="Femle"),"Female",TRUE(),"Unrecognized")</f>
        <v>Male</v>
      </c>
      <c r="D64" s="2" t="n">
        <f aca="false">'Dirty Data'!D63</f>
        <v>41</v>
      </c>
      <c r="E64" s="2" t="str">
        <f aca="false">_xlfn.IFS(D64="","Missing",D64&lt;0,"Invalid",D64&gt;120,"Invalid",TRUE(),"Valid")</f>
        <v>Valid</v>
      </c>
      <c r="F64" s="2" t="str">
        <f aca="false">IF(COUNTIFS('Dirty Data'!$B$2:$B$166,'Dirty Data'!B63,'Dirty Data'!$C$2:$C$166,'Dirty Data'!C63,'Dirty Data'!$D$2:$D$166,'Dirty Data'!D63)&gt;1,"Possible Duplicate","Unique")</f>
        <v>Unique</v>
      </c>
    </row>
    <row r="65" customFormat="false" ht="15" hidden="false" customHeight="false" outlineLevel="0" collapsed="false">
      <c r="A65" s="2" t="str">
        <f aca="false">'Dirty Data'!A64</f>
        <v>D0114</v>
      </c>
      <c r="B65" s="2" t="str">
        <f aca="false">TRIM(PROPER('Dirty Data'!B64))</f>
        <v>Central</v>
      </c>
      <c r="C65" s="2" t="str">
        <f aca="false">_xlfn.IFS(OR('Dirty Data'!C64="M",'Dirty Data'!C64="m",'Dirty Data'!C64="Male",'Dirty Data'!C64="male"),"Male",OR('Dirty Data'!C64="F",'Dirty Data'!C64="f",'Dirty Data'!C64="Female",'Dirty Data'!C64="female",'Dirty Data'!C64="Femle"),"Female",TRUE(),"Unrecognized")</f>
        <v>Female</v>
      </c>
      <c r="D65" s="2" t="n">
        <f aca="false">'Dirty Data'!D64</f>
        <v>95</v>
      </c>
      <c r="E65" s="2" t="str">
        <f aca="false">_xlfn.IFS(D65="","Missing",D65&lt;0,"Invalid",D65&gt;120,"Invalid",TRUE(),"Valid")</f>
        <v>Valid</v>
      </c>
      <c r="F65" s="2" t="str">
        <f aca="false">IF(COUNTIFS('Dirty Data'!$B$2:$B$166,'Dirty Data'!B64,'Dirty Data'!$C$2:$C$166,'Dirty Data'!C64,'Dirty Data'!$D$2:$D$166,'Dirty Data'!D64)&gt;1,"Possible Duplicate","Unique")</f>
        <v>Unique</v>
      </c>
    </row>
    <row r="66" customFormat="false" ht="15" hidden="false" customHeight="false" outlineLevel="0" collapsed="false">
      <c r="A66" s="2" t="str">
        <f aca="false">'Dirty Data'!A65</f>
        <v>D0049</v>
      </c>
      <c r="B66" s="2" t="str">
        <f aca="false">TRIM(PROPER('Dirty Data'!B65))</f>
        <v>Eastfield</v>
      </c>
      <c r="C66" s="2" t="str">
        <f aca="false">_xlfn.IFS(OR('Dirty Data'!C65="M",'Dirty Data'!C65="m",'Dirty Data'!C65="Male",'Dirty Data'!C65="male"),"Male",OR('Dirty Data'!C65="F",'Dirty Data'!C65="f",'Dirty Data'!C65="Female",'Dirty Data'!C65="female",'Dirty Data'!C65="Femle"),"Female",TRUE(),"Unrecognized")</f>
        <v>Male</v>
      </c>
      <c r="D66" s="2" t="n">
        <f aca="false">'Dirty Data'!D65</f>
        <v>90</v>
      </c>
      <c r="E66" s="2" t="str">
        <f aca="false">_xlfn.IFS(D66="","Missing",D66&lt;0,"Invalid",D66&gt;120,"Invalid",TRUE(),"Valid")</f>
        <v>Valid</v>
      </c>
      <c r="F66" s="2" t="str">
        <f aca="false">IF(COUNTIFS('Dirty Data'!$B$2:$B$166,'Dirty Data'!B65,'Dirty Data'!$C$2:$C$166,'Dirty Data'!C65,'Dirty Data'!$D$2:$D$166,'Dirty Data'!D65)&gt;1,"Possible Duplicate","Unique")</f>
        <v>Unique</v>
      </c>
    </row>
    <row r="67" customFormat="false" ht="15" hidden="false" customHeight="false" outlineLevel="0" collapsed="false">
      <c r="A67" s="2" t="str">
        <f aca="false">'Dirty Data'!A66</f>
        <v>D0017</v>
      </c>
      <c r="B67" s="2" t="str">
        <f aca="false">TRIM(PROPER('Dirty Data'!B66))</f>
        <v>Eastfield</v>
      </c>
      <c r="C67" s="2" t="str">
        <f aca="false">_xlfn.IFS(OR('Dirty Data'!C66="M",'Dirty Data'!C66="m",'Dirty Data'!C66="Male",'Dirty Data'!C66="male"),"Male",OR('Dirty Data'!C66="F",'Dirty Data'!C66="f",'Dirty Data'!C66="Female",'Dirty Data'!C66="female",'Dirty Data'!C66="Femle"),"Female",TRUE(),"Unrecognized")</f>
        <v>Female</v>
      </c>
      <c r="D67" s="2" t="n">
        <f aca="false">'Dirty Data'!D66</f>
        <v>24</v>
      </c>
      <c r="E67" s="2" t="str">
        <f aca="false">_xlfn.IFS(D67="","Missing",D67&lt;0,"Invalid",D67&gt;120,"Invalid",TRUE(),"Valid")</f>
        <v>Valid</v>
      </c>
      <c r="F67" s="2" t="str">
        <f aca="false">IF(COUNTIFS('Dirty Data'!$B$2:$B$166,'Dirty Data'!B66,'Dirty Data'!$C$2:$C$166,'Dirty Data'!C66,'Dirty Data'!$D$2:$D$166,'Dirty Data'!D66)&gt;1,"Possible Duplicate","Unique")</f>
        <v>Possible Duplicate</v>
      </c>
    </row>
    <row r="68" customFormat="false" ht="15" hidden="false" customHeight="false" outlineLevel="0" collapsed="false">
      <c r="A68" s="2" t="str">
        <f aca="false">'Dirty Data'!A67</f>
        <v>D0008</v>
      </c>
      <c r="B68" s="2" t="str">
        <f aca="false">TRIM(PROPER('Dirty Data'!B67))</f>
        <v>Central</v>
      </c>
      <c r="C68" s="2" t="str">
        <f aca="false">_xlfn.IFS(OR('Dirty Data'!C67="M",'Dirty Data'!C67="m",'Dirty Data'!C67="Male",'Dirty Data'!C67="male"),"Male",OR('Dirty Data'!C67="F",'Dirty Data'!C67="f",'Dirty Data'!C67="Female",'Dirty Data'!C67="female",'Dirty Data'!C67="Femle"),"Female",TRUE(),"Unrecognized")</f>
        <v>Female</v>
      </c>
      <c r="D68" s="2" t="n">
        <f aca="false">'Dirty Data'!D67</f>
        <v>72</v>
      </c>
      <c r="E68" s="2" t="str">
        <f aca="false">_xlfn.IFS(D68="","Missing",D68&lt;0,"Invalid",D68&gt;120,"Invalid",TRUE(),"Valid")</f>
        <v>Valid</v>
      </c>
      <c r="F68" s="2" t="str">
        <f aca="false">IF(COUNTIFS('Dirty Data'!$B$2:$B$166,'Dirty Data'!B67,'Dirty Data'!$C$2:$C$166,'Dirty Data'!C67,'Dirty Data'!$D$2:$D$166,'Dirty Data'!D67)&gt;1,"Possible Duplicate","Unique")</f>
        <v>Unique</v>
      </c>
    </row>
    <row r="69" customFormat="false" ht="15" hidden="false" customHeight="false" outlineLevel="0" collapsed="false">
      <c r="A69" s="2" t="str">
        <f aca="false">'Dirty Data'!A68</f>
        <v>D0122</v>
      </c>
      <c r="B69" s="2" t="str">
        <f aca="false">TRIM(PROPER('Dirty Data'!B68))</f>
        <v>Highland</v>
      </c>
      <c r="C69" s="2" t="str">
        <f aca="false">_xlfn.IFS(OR('Dirty Data'!C68="M",'Dirty Data'!C68="m",'Dirty Data'!C68="Male",'Dirty Data'!C68="male"),"Male",OR('Dirty Data'!C68="F",'Dirty Data'!C68="f",'Dirty Data'!C68="Female",'Dirty Data'!C68="female",'Dirty Data'!C68="Femle"),"Female",TRUE(),"Unrecognized")</f>
        <v>Female</v>
      </c>
      <c r="D69" s="2" t="n">
        <f aca="false">'Dirty Data'!D68</f>
        <v>74</v>
      </c>
      <c r="E69" s="2" t="str">
        <f aca="false">_xlfn.IFS(D69="","Missing",D69&lt;0,"Invalid",D69&gt;120,"Invalid",TRUE(),"Valid")</f>
        <v>Valid</v>
      </c>
      <c r="F69" s="2" t="str">
        <f aca="false">IF(COUNTIFS('Dirty Data'!$B$2:$B$166,'Dirty Data'!B68,'Dirty Data'!$C$2:$C$166,'Dirty Data'!C68,'Dirty Data'!$D$2:$D$166,'Dirty Data'!D68)&gt;1,"Possible Duplicate","Unique")</f>
        <v>Unique</v>
      </c>
    </row>
    <row r="70" customFormat="false" ht="15" hidden="false" customHeight="false" outlineLevel="0" collapsed="false">
      <c r="A70" s="2" t="str">
        <f aca="false">'Dirty Data'!A69</f>
        <v>D0108</v>
      </c>
      <c r="B70" s="2" t="str">
        <f aca="false">TRIM(PROPER('Dirty Data'!B69))</f>
        <v>Northgate</v>
      </c>
      <c r="C70" s="2" t="str">
        <f aca="false">_xlfn.IFS(OR('Dirty Data'!C69="M",'Dirty Data'!C69="m",'Dirty Data'!C69="Male",'Dirty Data'!C69="male"),"Male",OR('Dirty Data'!C69="F",'Dirty Data'!C69="f",'Dirty Data'!C69="Female",'Dirty Data'!C69="female",'Dirty Data'!C69="Femle"),"Female",TRUE(),"Unrecognized")</f>
        <v>Male</v>
      </c>
      <c r="D70" s="2" t="n">
        <f aca="false">'Dirty Data'!D69</f>
        <v>140</v>
      </c>
      <c r="E70" s="2" t="str">
        <f aca="false">_xlfn.IFS(D70="","Missing",D70&lt;0,"Invalid",D70&gt;120,"Invalid",TRUE(),"Valid")</f>
        <v>Invalid</v>
      </c>
      <c r="F70" s="2" t="str">
        <f aca="false">IF(COUNTIFS('Dirty Data'!$B$2:$B$166,'Dirty Data'!B69,'Dirty Data'!$C$2:$C$166,'Dirty Data'!C69,'Dirty Data'!$D$2:$D$166,'Dirty Data'!D69)&gt;1,"Possible Duplicate","Unique")</f>
        <v>Unique</v>
      </c>
    </row>
    <row r="71" customFormat="false" ht="15" hidden="false" customHeight="false" outlineLevel="0" collapsed="false">
      <c r="A71" s="2" t="str">
        <f aca="false">'Dirty Data'!A70</f>
        <v>D0102</v>
      </c>
      <c r="B71" s="2" t="str">
        <f aca="false">TRIM(PROPER('Dirty Data'!B70))</f>
        <v>Central</v>
      </c>
      <c r="C71" s="2" t="str">
        <f aca="false">_xlfn.IFS(OR('Dirty Data'!C70="M",'Dirty Data'!C70="m",'Dirty Data'!C70="Male",'Dirty Data'!C70="male"),"Male",OR('Dirty Data'!C70="F",'Dirty Data'!C70="f",'Dirty Data'!C70="Female",'Dirty Data'!C70="female",'Dirty Data'!C70="Femle"),"Female",TRUE(),"Unrecognized")</f>
        <v>Female</v>
      </c>
      <c r="D71" s="2" t="n">
        <f aca="false">'Dirty Data'!D70</f>
        <v>0</v>
      </c>
      <c r="E71" s="2" t="str">
        <f aca="false">_xlfn.IFS(D71="","Missing",D71&lt;0,"Invalid",D71&gt;120,"Invalid",TRUE(),"Valid")</f>
        <v>Missing</v>
      </c>
      <c r="F71" s="2" t="str">
        <f aca="false">IF(COUNTIFS('Dirty Data'!$B$2:$B$166,'Dirty Data'!B70,'Dirty Data'!$C$2:$C$166,'Dirty Data'!C70,'Dirty Data'!$D$2:$D$166,'Dirty Data'!D70)&gt;1,"Possible Duplicate","Unique")</f>
        <v>Unique</v>
      </c>
    </row>
    <row r="72" customFormat="false" ht="15" hidden="false" customHeight="false" outlineLevel="0" collapsed="false">
      <c r="A72" s="2" t="str">
        <f aca="false">'Dirty Data'!A71</f>
        <v>D0010</v>
      </c>
      <c r="B72" s="2" t="str">
        <f aca="false">TRIM(PROPER('Dirty Data'!B71))</f>
        <v>Eastfield</v>
      </c>
      <c r="C72" s="2" t="str">
        <f aca="false">_xlfn.IFS(OR('Dirty Data'!C71="M",'Dirty Data'!C71="m",'Dirty Data'!C71="Male",'Dirty Data'!C71="male"),"Male",OR('Dirty Data'!C71="F",'Dirty Data'!C71="f",'Dirty Data'!C71="Female",'Dirty Data'!C71="female",'Dirty Data'!C71="Femle"),"Female",TRUE(),"Unrecognized")</f>
        <v>Male</v>
      </c>
      <c r="D72" s="2" t="n">
        <f aca="false">'Dirty Data'!D71</f>
        <v>73</v>
      </c>
      <c r="E72" s="2" t="str">
        <f aca="false">_xlfn.IFS(D72="","Missing",D72&lt;0,"Invalid",D72&gt;120,"Invalid",TRUE(),"Valid")</f>
        <v>Valid</v>
      </c>
      <c r="F72" s="2" t="str">
        <f aca="false">IF(COUNTIFS('Dirty Data'!$B$2:$B$166,'Dirty Data'!B71,'Dirty Data'!$C$2:$C$166,'Dirty Data'!C71,'Dirty Data'!$D$2:$D$166,'Dirty Data'!D71)&gt;1,"Possible Duplicate","Unique")</f>
        <v>Unique</v>
      </c>
    </row>
    <row r="73" customFormat="false" ht="15" hidden="false" customHeight="false" outlineLevel="0" collapsed="false">
      <c r="A73" s="2" t="str">
        <f aca="false">'Dirty Data'!A72</f>
        <v>D0100</v>
      </c>
      <c r="B73" s="2" t="str">
        <f aca="false">TRIM(PROPER('Dirty Data'!B72))</f>
        <v>Highland</v>
      </c>
      <c r="C73" s="2" t="str">
        <f aca="false">_xlfn.IFS(OR('Dirty Data'!C72="M",'Dirty Data'!C72="m",'Dirty Data'!C72="Male",'Dirty Data'!C72="male"),"Male",OR('Dirty Data'!C72="F",'Dirty Data'!C72="f",'Dirty Data'!C72="Female",'Dirty Data'!C72="female",'Dirty Data'!C72="Femle"),"Female",TRUE(),"Unrecognized")</f>
        <v>Female</v>
      </c>
      <c r="D73" s="2" t="n">
        <f aca="false">'Dirty Data'!D72</f>
        <v>44</v>
      </c>
      <c r="E73" s="2" t="str">
        <f aca="false">_xlfn.IFS(D73="","Missing",D73&lt;0,"Invalid",D73&gt;120,"Invalid",TRUE(),"Valid")</f>
        <v>Valid</v>
      </c>
      <c r="F73" s="2" t="str">
        <f aca="false">IF(COUNTIFS('Dirty Data'!$B$2:$B$166,'Dirty Data'!B72,'Dirty Data'!$C$2:$C$166,'Dirty Data'!C72,'Dirty Data'!$D$2:$D$166,'Dirty Data'!D72)&gt;1,"Possible Duplicate","Unique")</f>
        <v>Possible Duplicate</v>
      </c>
    </row>
    <row r="74" customFormat="false" ht="15" hidden="false" customHeight="false" outlineLevel="0" collapsed="false">
      <c r="A74" s="2" t="str">
        <f aca="false">'Dirty Data'!A73</f>
        <v>D0017</v>
      </c>
      <c r="B74" s="2" t="str">
        <f aca="false">TRIM(PROPER('Dirty Data'!B73))</f>
        <v>Eastfield</v>
      </c>
      <c r="C74" s="2" t="str">
        <f aca="false">_xlfn.IFS(OR('Dirty Data'!C73="M",'Dirty Data'!C73="m",'Dirty Data'!C73="Male",'Dirty Data'!C73="male"),"Male",OR('Dirty Data'!C73="F",'Dirty Data'!C73="f",'Dirty Data'!C73="Female",'Dirty Data'!C73="female",'Dirty Data'!C73="Femle"),"Female",TRUE(),"Unrecognized")</f>
        <v>Female</v>
      </c>
      <c r="D74" s="2" t="n">
        <f aca="false">'Dirty Data'!D73</f>
        <v>24</v>
      </c>
      <c r="E74" s="2" t="str">
        <f aca="false">_xlfn.IFS(D74="","Missing",D74&lt;0,"Invalid",D74&gt;120,"Invalid",TRUE(),"Valid")</f>
        <v>Valid</v>
      </c>
      <c r="F74" s="2" t="str">
        <f aca="false">IF(COUNTIFS('Dirty Data'!$B$2:$B$166,'Dirty Data'!B73,'Dirty Data'!$C$2:$C$166,'Dirty Data'!C73,'Dirty Data'!$D$2:$D$166,'Dirty Data'!D73)&gt;1,"Possible Duplicate","Unique")</f>
        <v>Possible Duplicate</v>
      </c>
    </row>
    <row r="75" customFormat="false" ht="15" hidden="false" customHeight="false" outlineLevel="0" collapsed="false">
      <c r="A75" s="2" t="str">
        <f aca="false">'Dirty Data'!A74</f>
        <v>D0120</v>
      </c>
      <c r="B75" s="2" t="str">
        <f aca="false">TRIM(PROPER('Dirty Data'!B74))</f>
        <v>Highland</v>
      </c>
      <c r="C75" s="2" t="str">
        <f aca="false">_xlfn.IFS(OR('Dirty Data'!C74="M",'Dirty Data'!C74="m",'Dirty Data'!C74="Male",'Dirty Data'!C74="male"),"Male",OR('Dirty Data'!C74="F",'Dirty Data'!C74="f",'Dirty Data'!C74="Female",'Dirty Data'!C74="female",'Dirty Data'!C74="Femle"),"Female",TRUE(),"Unrecognized")</f>
        <v>Female</v>
      </c>
      <c r="D75" s="2" t="n">
        <f aca="false">'Dirty Data'!D74</f>
        <v>0</v>
      </c>
      <c r="E75" s="2" t="str">
        <f aca="false">_xlfn.IFS(D75="","Missing",D75&lt;0,"Invalid",D75&gt;120,"Invalid",TRUE(),"Valid")</f>
        <v>Missing</v>
      </c>
      <c r="F75" s="2" t="str">
        <f aca="false">IF(COUNTIFS('Dirty Data'!$B$2:$B$166,'Dirty Data'!B74,'Dirty Data'!$C$2:$C$166,'Dirty Data'!C74,'Dirty Data'!$D$2:$D$166,'Dirty Data'!D74)&gt;1,"Possible Duplicate","Unique")</f>
        <v>Unique</v>
      </c>
    </row>
    <row r="76" customFormat="false" ht="15" hidden="false" customHeight="false" outlineLevel="0" collapsed="false">
      <c r="A76" s="2" t="str">
        <f aca="false">'Dirty Data'!A75</f>
        <v>D0105</v>
      </c>
      <c r="B76" s="2" t="str">
        <f aca="false">TRIM(PROPER('Dirty Data'!B75))</f>
        <v>Riverside</v>
      </c>
      <c r="C76" s="2" t="str">
        <f aca="false">_xlfn.IFS(OR('Dirty Data'!C75="M",'Dirty Data'!C75="m",'Dirty Data'!C75="Male",'Dirty Data'!C75="male"),"Male",OR('Dirty Data'!C75="F",'Dirty Data'!C75="f",'Dirty Data'!C75="Female",'Dirty Data'!C75="female",'Dirty Data'!C75="Femle"),"Female",TRUE(),"Unrecognized")</f>
        <v>Male</v>
      </c>
      <c r="D76" s="2" t="n">
        <f aca="false">'Dirty Data'!D75</f>
        <v>92</v>
      </c>
      <c r="E76" s="2" t="str">
        <f aca="false">_xlfn.IFS(D76="","Missing",D76&lt;0,"Invalid",D76&gt;120,"Invalid",TRUE(),"Valid")</f>
        <v>Valid</v>
      </c>
      <c r="F76" s="2" t="str">
        <f aca="false">IF(COUNTIFS('Dirty Data'!$B$2:$B$166,'Dirty Data'!B75,'Dirty Data'!$C$2:$C$166,'Dirty Data'!C75,'Dirty Data'!$D$2:$D$166,'Dirty Data'!D75)&gt;1,"Possible Duplicate","Unique")</f>
        <v>Unique</v>
      </c>
    </row>
    <row r="77" customFormat="false" ht="15" hidden="false" customHeight="false" outlineLevel="0" collapsed="false">
      <c r="A77" s="2" t="str">
        <f aca="false">'Dirty Data'!A76</f>
        <v>D0052</v>
      </c>
      <c r="B77" s="2" t="str">
        <f aca="false">TRIM(PROPER('Dirty Data'!B76))</f>
        <v>Central</v>
      </c>
      <c r="C77" s="2" t="str">
        <f aca="false">_xlfn.IFS(OR('Dirty Data'!C76="M",'Dirty Data'!C76="m",'Dirty Data'!C76="Male",'Dirty Data'!C76="male"),"Male",OR('Dirty Data'!C76="F",'Dirty Data'!C76="f",'Dirty Data'!C76="Female",'Dirty Data'!C76="female",'Dirty Data'!C76="Femle"),"Female",TRUE(),"Unrecognized")</f>
        <v>Male</v>
      </c>
      <c r="D77" s="2" t="n">
        <f aca="false">'Dirty Data'!D76</f>
        <v>19</v>
      </c>
      <c r="E77" s="2" t="str">
        <f aca="false">_xlfn.IFS(D77="","Missing",D77&lt;0,"Invalid",D77&gt;120,"Invalid",TRUE(),"Valid")</f>
        <v>Valid</v>
      </c>
      <c r="F77" s="2" t="str">
        <f aca="false">IF(COUNTIFS('Dirty Data'!$B$2:$B$166,'Dirty Data'!B76,'Dirty Data'!$C$2:$C$166,'Dirty Data'!C76,'Dirty Data'!$D$2:$D$166,'Dirty Data'!D76)&gt;1,"Possible Duplicate","Unique")</f>
        <v>Unique</v>
      </c>
    </row>
    <row r="78" customFormat="false" ht="15" hidden="false" customHeight="false" outlineLevel="0" collapsed="false">
      <c r="A78" s="2" t="str">
        <f aca="false">'Dirty Data'!A77</f>
        <v>D0137</v>
      </c>
      <c r="B78" s="2" t="str">
        <f aca="false">TRIM(PROPER('Dirty Data'!B77))</f>
        <v>Highland</v>
      </c>
      <c r="C78" s="2" t="str">
        <f aca="false">_xlfn.IFS(OR('Dirty Data'!C77="M",'Dirty Data'!C77="m",'Dirty Data'!C77="Male",'Dirty Data'!C77="male"),"Male",OR('Dirty Data'!C77="F",'Dirty Data'!C77="f",'Dirty Data'!C77="Female",'Dirty Data'!C77="female",'Dirty Data'!C77="Femle"),"Female",TRUE(),"Unrecognized")</f>
        <v>Male</v>
      </c>
      <c r="D78" s="2" t="n">
        <f aca="false">'Dirty Data'!D77</f>
        <v>78</v>
      </c>
      <c r="E78" s="2" t="str">
        <f aca="false">_xlfn.IFS(D78="","Missing",D78&lt;0,"Invalid",D78&gt;120,"Invalid",TRUE(),"Valid")</f>
        <v>Valid</v>
      </c>
      <c r="F78" s="2" t="str">
        <f aca="false">IF(COUNTIFS('Dirty Data'!$B$2:$B$166,'Dirty Data'!B77,'Dirty Data'!$C$2:$C$166,'Dirty Data'!C77,'Dirty Data'!$D$2:$D$166,'Dirty Data'!D77)&gt;1,"Possible Duplicate","Unique")</f>
        <v>Unique</v>
      </c>
    </row>
    <row r="79" customFormat="false" ht="15" hidden="false" customHeight="false" outlineLevel="0" collapsed="false">
      <c r="A79" s="2" t="str">
        <f aca="false">'Dirty Data'!A78</f>
        <v>D0118</v>
      </c>
      <c r="B79" s="2" t="str">
        <f aca="false">TRIM(PROPER('Dirty Data'!B78))</f>
        <v>Northgate</v>
      </c>
      <c r="C79" s="2" t="str">
        <f aca="false">_xlfn.IFS(OR('Dirty Data'!C78="M",'Dirty Data'!C78="m",'Dirty Data'!C78="Male",'Dirty Data'!C78="male"),"Male",OR('Dirty Data'!C78="F",'Dirty Data'!C78="f",'Dirty Data'!C78="Female",'Dirty Data'!C78="female",'Dirty Data'!C78="Femle"),"Female",TRUE(),"Unrecognized")</f>
        <v>Female</v>
      </c>
      <c r="D79" s="2" t="n">
        <f aca="false">'Dirty Data'!D78</f>
        <v>75</v>
      </c>
      <c r="E79" s="2" t="str">
        <f aca="false">_xlfn.IFS(D79="","Missing",D79&lt;0,"Invalid",D79&gt;120,"Invalid",TRUE(),"Valid")</f>
        <v>Valid</v>
      </c>
      <c r="F79" s="2" t="str">
        <f aca="false">IF(COUNTIFS('Dirty Data'!$B$2:$B$166,'Dirty Data'!B78,'Dirty Data'!$C$2:$C$166,'Dirty Data'!C78,'Dirty Data'!$D$2:$D$166,'Dirty Data'!D78)&gt;1,"Possible Duplicate","Unique")</f>
        <v>Possible Duplicate</v>
      </c>
    </row>
    <row r="80" customFormat="false" ht="15" hidden="false" customHeight="false" outlineLevel="0" collapsed="false">
      <c r="A80" s="2" t="str">
        <f aca="false">'Dirty Data'!A79</f>
        <v>D0044</v>
      </c>
      <c r="B80" s="2" t="str">
        <f aca="false">TRIM(PROPER('Dirty Data'!B79))</f>
        <v>Riverside</v>
      </c>
      <c r="C80" s="2" t="str">
        <f aca="false">_xlfn.IFS(OR('Dirty Data'!C79="M",'Dirty Data'!C79="m",'Dirty Data'!C79="Male",'Dirty Data'!C79="male"),"Male",OR('Dirty Data'!C79="F",'Dirty Data'!C79="f",'Dirty Data'!C79="Female",'Dirty Data'!C79="female",'Dirty Data'!C79="Femle"),"Female",TRUE(),"Unrecognized")</f>
        <v>Male</v>
      </c>
      <c r="D80" s="2" t="n">
        <f aca="false">'Dirty Data'!D79</f>
        <v>94</v>
      </c>
      <c r="E80" s="2" t="str">
        <f aca="false">_xlfn.IFS(D80="","Missing",D80&lt;0,"Invalid",D80&gt;120,"Invalid",TRUE(),"Valid")</f>
        <v>Valid</v>
      </c>
      <c r="F80" s="2" t="str">
        <f aca="false">IF(COUNTIFS('Dirty Data'!$B$2:$B$166,'Dirty Data'!B79,'Dirty Data'!$C$2:$C$166,'Dirty Data'!C79,'Dirty Data'!$D$2:$D$166,'Dirty Data'!D79)&gt;1,"Possible Duplicate","Unique")</f>
        <v>Unique</v>
      </c>
    </row>
    <row r="81" customFormat="false" ht="15" hidden="false" customHeight="false" outlineLevel="0" collapsed="false">
      <c r="A81" s="2" t="str">
        <f aca="false">'Dirty Data'!A80</f>
        <v>D0030</v>
      </c>
      <c r="B81" s="2" t="str">
        <f aca="false">TRIM(PROPER('Dirty Data'!B80))</f>
        <v>Northgate</v>
      </c>
      <c r="C81" s="2" t="str">
        <f aca="false">_xlfn.IFS(OR('Dirty Data'!C80="M",'Dirty Data'!C80="m",'Dirty Data'!C80="Male",'Dirty Data'!C80="male"),"Male",OR('Dirty Data'!C80="F",'Dirty Data'!C80="f",'Dirty Data'!C80="Female",'Dirty Data'!C80="female",'Dirty Data'!C80="Femle"),"Female",TRUE(),"Unrecognized")</f>
        <v>Female</v>
      </c>
      <c r="D81" s="2" t="n">
        <f aca="false">'Dirty Data'!D80</f>
        <v>53</v>
      </c>
      <c r="E81" s="2" t="str">
        <f aca="false">_xlfn.IFS(D81="","Missing",D81&lt;0,"Invalid",D81&gt;120,"Invalid",TRUE(),"Valid")</f>
        <v>Valid</v>
      </c>
      <c r="F81" s="2" t="str">
        <f aca="false">IF(COUNTIFS('Dirty Data'!$B$2:$B$166,'Dirty Data'!B80,'Dirty Data'!$C$2:$C$166,'Dirty Data'!C80,'Dirty Data'!$D$2:$D$166,'Dirty Data'!D80)&gt;1,"Possible Duplicate","Unique")</f>
        <v>Unique</v>
      </c>
    </row>
    <row r="82" customFormat="false" ht="15" hidden="false" customHeight="false" outlineLevel="0" collapsed="false">
      <c r="A82" s="2" t="str">
        <f aca="false">'Dirty Data'!A81</f>
        <v>D0028</v>
      </c>
      <c r="B82" s="2" t="str">
        <f aca="false">TRIM(PROPER('Dirty Data'!B81))</f>
        <v>Central</v>
      </c>
      <c r="C82" s="2" t="str">
        <f aca="false">_xlfn.IFS(OR('Dirty Data'!C81="M",'Dirty Data'!C81="m",'Dirty Data'!C81="Male",'Dirty Data'!C81="male"),"Male",OR('Dirty Data'!C81="F",'Dirty Data'!C81="f",'Dirty Data'!C81="Female",'Dirty Data'!C81="female",'Dirty Data'!C81="Femle"),"Female",TRUE(),"Unrecognized")</f>
        <v>Male</v>
      </c>
      <c r="D82" s="2" t="n">
        <f aca="false">'Dirty Data'!D81</f>
        <v>65</v>
      </c>
      <c r="E82" s="2" t="str">
        <f aca="false">_xlfn.IFS(D82="","Missing",D82&lt;0,"Invalid",D82&gt;120,"Invalid",TRUE(),"Valid")</f>
        <v>Valid</v>
      </c>
      <c r="F82" s="2" t="str">
        <f aca="false">IF(COUNTIFS('Dirty Data'!$B$2:$B$166,'Dirty Data'!B81,'Dirty Data'!$C$2:$C$166,'Dirty Data'!C81,'Dirty Data'!$D$2:$D$166,'Dirty Data'!D81)&gt;1,"Possible Duplicate","Unique")</f>
        <v>Unique</v>
      </c>
    </row>
    <row r="83" customFormat="false" ht="15" hidden="false" customHeight="false" outlineLevel="0" collapsed="false">
      <c r="A83" s="2" t="str">
        <f aca="false">'Dirty Data'!A82</f>
        <v>D0115</v>
      </c>
      <c r="B83" s="2" t="str">
        <f aca="false">TRIM(PROPER('Dirty Data'!B82))</f>
        <v>Northgate</v>
      </c>
      <c r="C83" s="2" t="str">
        <f aca="false">_xlfn.IFS(OR('Dirty Data'!C82="M",'Dirty Data'!C82="m",'Dirty Data'!C82="Male",'Dirty Data'!C82="male"),"Male",OR('Dirty Data'!C82="F",'Dirty Data'!C82="f",'Dirty Data'!C82="Female",'Dirty Data'!C82="female",'Dirty Data'!C82="Femle"),"Female",TRUE(),"Unrecognized")</f>
        <v>Female</v>
      </c>
      <c r="D83" s="2" t="n">
        <f aca="false">'Dirty Data'!D82</f>
        <v>24</v>
      </c>
      <c r="E83" s="2" t="str">
        <f aca="false">_xlfn.IFS(D83="","Missing",D83&lt;0,"Invalid",D83&gt;120,"Invalid",TRUE(),"Valid")</f>
        <v>Valid</v>
      </c>
      <c r="F83" s="2" t="str">
        <f aca="false">IF(COUNTIFS('Dirty Data'!$B$2:$B$166,'Dirty Data'!B82,'Dirty Data'!$C$2:$C$166,'Dirty Data'!C82,'Dirty Data'!$D$2:$D$166,'Dirty Data'!D82)&gt;1,"Possible Duplicate","Unique")</f>
        <v>Unique</v>
      </c>
    </row>
    <row r="84" customFormat="false" ht="15" hidden="false" customHeight="false" outlineLevel="0" collapsed="false">
      <c r="A84" s="2" t="str">
        <f aca="false">'Dirty Data'!A83</f>
        <v>D0097</v>
      </c>
      <c r="B84" s="2" t="str">
        <f aca="false">TRIM(PROPER('Dirty Data'!B83))</f>
        <v>Highland</v>
      </c>
      <c r="C84" s="2" t="str">
        <f aca="false">_xlfn.IFS(OR('Dirty Data'!C83="M",'Dirty Data'!C83="m",'Dirty Data'!C83="Male",'Dirty Data'!C83="male"),"Male",OR('Dirty Data'!C83="F",'Dirty Data'!C83="f",'Dirty Data'!C83="Female",'Dirty Data'!C83="female",'Dirty Data'!C83="Femle"),"Female",TRUE(),"Unrecognized")</f>
        <v>Male</v>
      </c>
      <c r="D84" s="2" t="n">
        <f aca="false">'Dirty Data'!D83</f>
        <v>43</v>
      </c>
      <c r="E84" s="2" t="str">
        <f aca="false">_xlfn.IFS(D84="","Missing",D84&lt;0,"Invalid",D84&gt;120,"Invalid",TRUE(),"Valid")</f>
        <v>Valid</v>
      </c>
      <c r="F84" s="2" t="str">
        <f aca="false">IF(COUNTIFS('Dirty Data'!$B$2:$B$166,'Dirty Data'!B83,'Dirty Data'!$C$2:$C$166,'Dirty Data'!C83,'Dirty Data'!$D$2:$D$166,'Dirty Data'!D83)&gt;1,"Possible Duplicate","Unique")</f>
        <v>Possible Duplicate</v>
      </c>
    </row>
    <row r="85" customFormat="false" ht="15" hidden="false" customHeight="false" outlineLevel="0" collapsed="false">
      <c r="A85" s="2" t="str">
        <f aca="false">'Dirty Data'!A84</f>
        <v>D0051</v>
      </c>
      <c r="B85" s="2" t="str">
        <f aca="false">TRIM(PROPER('Dirty Data'!B84))</f>
        <v>Highland</v>
      </c>
      <c r="C85" s="2" t="str">
        <f aca="false">_xlfn.IFS(OR('Dirty Data'!C84="M",'Dirty Data'!C84="m",'Dirty Data'!C84="Male",'Dirty Data'!C84="male"),"Male",OR('Dirty Data'!C84="F",'Dirty Data'!C84="f",'Dirty Data'!C84="Female",'Dirty Data'!C84="female",'Dirty Data'!C84="Femle"),"Female",TRUE(),"Unrecognized")</f>
        <v>Male</v>
      </c>
      <c r="D85" s="2" t="n">
        <f aca="false">'Dirty Data'!D84</f>
        <v>-5</v>
      </c>
      <c r="E85" s="2" t="str">
        <f aca="false">_xlfn.IFS(D85="","Missing",D85&lt;0,"Invalid",D85&gt;120,"Invalid",TRUE(),"Valid")</f>
        <v>Invalid</v>
      </c>
      <c r="F85" s="2" t="str">
        <f aca="false">IF(COUNTIFS('Dirty Data'!$B$2:$B$166,'Dirty Data'!B84,'Dirty Data'!$C$2:$C$166,'Dirty Data'!C84,'Dirty Data'!$D$2:$D$166,'Dirty Data'!D84)&gt;1,"Possible Duplicate","Unique")</f>
        <v>Unique</v>
      </c>
    </row>
    <row r="86" customFormat="false" ht="15" hidden="false" customHeight="false" outlineLevel="0" collapsed="false">
      <c r="A86" s="2" t="str">
        <f aca="false">'Dirty Data'!A85</f>
        <v>D0076</v>
      </c>
      <c r="B86" s="2" t="str">
        <f aca="false">TRIM(PROPER('Dirty Data'!B85))</f>
        <v>Riverside</v>
      </c>
      <c r="C86" s="2" t="str">
        <f aca="false">_xlfn.IFS(OR('Dirty Data'!C85="M",'Dirty Data'!C85="m",'Dirty Data'!C85="Male",'Dirty Data'!C85="male"),"Male",OR('Dirty Data'!C85="F",'Dirty Data'!C85="f",'Dirty Data'!C85="Female",'Dirty Data'!C85="female",'Dirty Data'!C85="Femle"),"Female",TRUE(),"Unrecognized")</f>
        <v>Male</v>
      </c>
      <c r="D86" s="2" t="n">
        <f aca="false">'Dirty Data'!D85</f>
        <v>18</v>
      </c>
      <c r="E86" s="2" t="str">
        <f aca="false">_xlfn.IFS(D86="","Missing",D86&lt;0,"Invalid",D86&gt;120,"Invalid",TRUE(),"Valid")</f>
        <v>Valid</v>
      </c>
      <c r="F86" s="2" t="str">
        <f aca="false">IF(COUNTIFS('Dirty Data'!$B$2:$B$166,'Dirty Data'!B85,'Dirty Data'!$C$2:$C$166,'Dirty Data'!C85,'Dirty Data'!$D$2:$D$166,'Dirty Data'!D85)&gt;1,"Possible Duplicate","Unique")</f>
        <v>Possible Duplicate</v>
      </c>
    </row>
    <row r="87" customFormat="false" ht="15" hidden="false" customHeight="false" outlineLevel="0" collapsed="false">
      <c r="A87" s="2" t="str">
        <f aca="false">'Dirty Data'!A86</f>
        <v>D0064</v>
      </c>
      <c r="B87" s="2" t="str">
        <f aca="false">TRIM(PROPER('Dirty Data'!B86))</f>
        <v>Central</v>
      </c>
      <c r="C87" s="2" t="str">
        <f aca="false">_xlfn.IFS(OR('Dirty Data'!C86="M",'Dirty Data'!C86="m",'Dirty Data'!C86="Male",'Dirty Data'!C86="male"),"Male",OR('Dirty Data'!C86="F",'Dirty Data'!C86="f",'Dirty Data'!C86="Female",'Dirty Data'!C86="female",'Dirty Data'!C86="Femle"),"Female",TRUE(),"Unrecognized")</f>
        <v>Male</v>
      </c>
      <c r="D87" s="2" t="n">
        <f aca="false">'Dirty Data'!D86</f>
        <v>8</v>
      </c>
      <c r="E87" s="2" t="str">
        <f aca="false">_xlfn.IFS(D87="","Missing",D87&lt;0,"Invalid",D87&gt;120,"Invalid",TRUE(),"Valid")</f>
        <v>Valid</v>
      </c>
      <c r="F87" s="2" t="str">
        <f aca="false">IF(COUNTIFS('Dirty Data'!$B$2:$B$166,'Dirty Data'!B86,'Dirty Data'!$C$2:$C$166,'Dirty Data'!C86,'Dirty Data'!$D$2:$D$166,'Dirty Data'!D86)&gt;1,"Possible Duplicate","Unique")</f>
        <v>Unique</v>
      </c>
    </row>
    <row r="88" customFormat="false" ht="15" hidden="false" customHeight="false" outlineLevel="0" collapsed="false">
      <c r="A88" s="2" t="str">
        <f aca="false">'Dirty Data'!A87</f>
        <v>D0089</v>
      </c>
      <c r="B88" s="2" t="str">
        <f aca="false">TRIM(PROPER('Dirty Data'!B87))</f>
        <v>Northgate</v>
      </c>
      <c r="C88" s="2" t="str">
        <f aca="false">_xlfn.IFS(OR('Dirty Data'!C87="M",'Dirty Data'!C87="m",'Dirty Data'!C87="Male",'Dirty Data'!C87="male"),"Male",OR('Dirty Data'!C87="F",'Dirty Data'!C87="f",'Dirty Data'!C87="Female",'Dirty Data'!C87="female",'Dirty Data'!C87="Femle"),"Female",TRUE(),"Unrecognized")</f>
        <v>Female</v>
      </c>
      <c r="D88" s="2" t="n">
        <f aca="false">'Dirty Data'!D87</f>
        <v>51</v>
      </c>
      <c r="E88" s="2" t="str">
        <f aca="false">_xlfn.IFS(D88="","Missing",D88&lt;0,"Invalid",D88&gt;120,"Invalid",TRUE(),"Valid")</f>
        <v>Valid</v>
      </c>
      <c r="F88" s="2" t="str">
        <f aca="false">IF(COUNTIFS('Dirty Data'!$B$2:$B$166,'Dirty Data'!B87,'Dirty Data'!$C$2:$C$166,'Dirty Data'!C87,'Dirty Data'!$D$2:$D$166,'Dirty Data'!D87)&gt;1,"Possible Duplicate","Unique")</f>
        <v>Unique</v>
      </c>
    </row>
    <row r="89" customFormat="false" ht="15" hidden="false" customHeight="false" outlineLevel="0" collapsed="false">
      <c r="A89" s="2" t="str">
        <f aca="false">'Dirty Data'!A88</f>
        <v>D0056</v>
      </c>
      <c r="B89" s="2" t="str">
        <f aca="false">TRIM(PROPER('Dirty Data'!B88))</f>
        <v>Central</v>
      </c>
      <c r="C89" s="2" t="str">
        <f aca="false">_xlfn.IFS(OR('Dirty Data'!C88="M",'Dirty Data'!C88="m",'Dirty Data'!C88="Male",'Dirty Data'!C88="male"),"Male",OR('Dirty Data'!C88="F",'Dirty Data'!C88="f",'Dirty Data'!C88="Female",'Dirty Data'!C88="female",'Dirty Data'!C88="Femle"),"Female",TRUE(),"Unrecognized")</f>
        <v>Male</v>
      </c>
      <c r="D89" s="2" t="n">
        <f aca="false">'Dirty Data'!D88</f>
        <v>53</v>
      </c>
      <c r="E89" s="2" t="str">
        <f aca="false">_xlfn.IFS(D89="","Missing",D89&lt;0,"Invalid",D89&gt;120,"Invalid",TRUE(),"Valid")</f>
        <v>Valid</v>
      </c>
      <c r="F89" s="2" t="str">
        <f aca="false">IF(COUNTIFS('Dirty Data'!$B$2:$B$166,'Dirty Data'!B88,'Dirty Data'!$C$2:$C$166,'Dirty Data'!C88,'Dirty Data'!$D$2:$D$166,'Dirty Data'!D88)&gt;1,"Possible Duplicate","Unique")</f>
        <v>Unique</v>
      </c>
    </row>
    <row r="90" customFormat="false" ht="15" hidden="false" customHeight="false" outlineLevel="0" collapsed="false">
      <c r="A90" s="2" t="str">
        <f aca="false">'Dirty Data'!A89</f>
        <v>D0150</v>
      </c>
      <c r="B90" s="2" t="str">
        <f aca="false">TRIM(PROPER('Dirty Data'!B89))</f>
        <v>Riverside</v>
      </c>
      <c r="C90" s="2" t="str">
        <f aca="false">_xlfn.IFS(OR('Dirty Data'!C89="M",'Dirty Data'!C89="m",'Dirty Data'!C89="Male",'Dirty Data'!C89="male"),"Male",OR('Dirty Data'!C89="F",'Dirty Data'!C89="f",'Dirty Data'!C89="Female",'Dirty Data'!C89="female",'Dirty Data'!C89="Femle"),"Female",TRUE(),"Unrecognized")</f>
        <v>Male</v>
      </c>
      <c r="D90" s="2" t="n">
        <f aca="false">'Dirty Data'!D89</f>
        <v>32</v>
      </c>
      <c r="E90" s="2" t="str">
        <f aca="false">_xlfn.IFS(D90="","Missing",D90&lt;0,"Invalid",D90&gt;120,"Invalid",TRUE(),"Valid")</f>
        <v>Valid</v>
      </c>
      <c r="F90" s="2" t="str">
        <f aca="false">IF(COUNTIFS('Dirty Data'!$B$2:$B$166,'Dirty Data'!B89,'Dirty Data'!$C$2:$C$166,'Dirty Data'!C89,'Dirty Data'!$D$2:$D$166,'Dirty Data'!D89)&gt;1,"Possible Duplicate","Unique")</f>
        <v>Unique</v>
      </c>
    </row>
    <row r="91" customFormat="false" ht="15" hidden="false" customHeight="false" outlineLevel="0" collapsed="false">
      <c r="A91" s="2" t="str">
        <f aca="false">'Dirty Data'!A90</f>
        <v>D0085</v>
      </c>
      <c r="B91" s="2" t="str">
        <f aca="false">TRIM(PROPER('Dirty Data'!B90))</f>
        <v>Northgate</v>
      </c>
      <c r="C91" s="2" t="str">
        <f aca="false">_xlfn.IFS(OR('Dirty Data'!C90="M",'Dirty Data'!C90="m",'Dirty Data'!C90="Male",'Dirty Data'!C90="male"),"Male",OR('Dirty Data'!C90="F",'Dirty Data'!C90="f",'Dirty Data'!C90="Female",'Dirty Data'!C90="female",'Dirty Data'!C90="Femle"),"Female",TRUE(),"Unrecognized")</f>
        <v>Male</v>
      </c>
      <c r="D91" s="2" t="n">
        <f aca="false">'Dirty Data'!D90</f>
        <v>28</v>
      </c>
      <c r="E91" s="2" t="str">
        <f aca="false">_xlfn.IFS(D91="","Missing",D91&lt;0,"Invalid",D91&gt;120,"Invalid",TRUE(),"Valid")</f>
        <v>Valid</v>
      </c>
      <c r="F91" s="2" t="str">
        <f aca="false">IF(COUNTIFS('Dirty Data'!$B$2:$B$166,'Dirty Data'!B90,'Dirty Data'!$C$2:$C$166,'Dirty Data'!C90,'Dirty Data'!$D$2:$D$166,'Dirty Data'!D90)&gt;1,"Possible Duplicate","Unique")</f>
        <v>Possible Duplicate</v>
      </c>
    </row>
    <row r="92" customFormat="false" ht="15" hidden="false" customHeight="false" outlineLevel="0" collapsed="false">
      <c r="A92" s="2" t="str">
        <f aca="false">'Dirty Data'!A91</f>
        <v>D0014</v>
      </c>
      <c r="B92" s="2" t="str">
        <f aca="false">TRIM(PROPER('Dirty Data'!B91))</f>
        <v>Northgate</v>
      </c>
      <c r="C92" s="2" t="str">
        <f aca="false">_xlfn.IFS(OR('Dirty Data'!C91="M",'Dirty Data'!C91="m",'Dirty Data'!C91="Male",'Dirty Data'!C91="male"),"Male",OR('Dirty Data'!C91="F",'Dirty Data'!C91="f",'Dirty Data'!C91="Female",'Dirty Data'!C91="female",'Dirty Data'!C91="Femle"),"Female",TRUE(),"Unrecognized")</f>
        <v>Female</v>
      </c>
      <c r="D92" s="2" t="n">
        <f aca="false">'Dirty Data'!D91</f>
        <v>15</v>
      </c>
      <c r="E92" s="2" t="str">
        <f aca="false">_xlfn.IFS(D92="","Missing",D92&lt;0,"Invalid",D92&gt;120,"Invalid",TRUE(),"Valid")</f>
        <v>Valid</v>
      </c>
      <c r="F92" s="2" t="str">
        <f aca="false">IF(COUNTIFS('Dirty Data'!$B$2:$B$166,'Dirty Data'!B91,'Dirty Data'!$C$2:$C$166,'Dirty Data'!C91,'Dirty Data'!$D$2:$D$166,'Dirty Data'!D91)&gt;1,"Possible Duplicate","Unique")</f>
        <v>Possible Duplicate</v>
      </c>
    </row>
    <row r="93" customFormat="false" ht="15" hidden="false" customHeight="false" outlineLevel="0" collapsed="false">
      <c r="A93" s="2" t="str">
        <f aca="false">'Dirty Data'!A92</f>
        <v>D0110</v>
      </c>
      <c r="B93" s="2" t="str">
        <f aca="false">TRIM(PROPER('Dirty Data'!B92))</f>
        <v>Northgate</v>
      </c>
      <c r="C93" s="2" t="str">
        <f aca="false">_xlfn.IFS(OR('Dirty Data'!C92="M",'Dirty Data'!C92="m",'Dirty Data'!C92="Male",'Dirty Data'!C92="male"),"Male",OR('Dirty Data'!C92="F",'Dirty Data'!C92="f",'Dirty Data'!C92="Female",'Dirty Data'!C92="female",'Dirty Data'!C92="Femle"),"Female",TRUE(),"Unrecognized")</f>
        <v>Female</v>
      </c>
      <c r="D93" s="2" t="n">
        <f aca="false">'Dirty Data'!D92</f>
        <v>76</v>
      </c>
      <c r="E93" s="2" t="str">
        <f aca="false">_xlfn.IFS(D93="","Missing",D93&lt;0,"Invalid",D93&gt;120,"Invalid",TRUE(),"Valid")</f>
        <v>Valid</v>
      </c>
      <c r="F93" s="2" t="str">
        <f aca="false">IF(COUNTIFS('Dirty Data'!$B$2:$B$166,'Dirty Data'!B92,'Dirty Data'!$C$2:$C$166,'Dirty Data'!C92,'Dirty Data'!$D$2:$D$166,'Dirty Data'!D92)&gt;1,"Possible Duplicate","Unique")</f>
        <v>Unique</v>
      </c>
    </row>
    <row r="94" customFormat="false" ht="15" hidden="false" customHeight="false" outlineLevel="0" collapsed="false">
      <c r="A94" s="2" t="str">
        <f aca="false">'Dirty Data'!A93</f>
        <v>D0135</v>
      </c>
      <c r="B94" s="2" t="str">
        <f aca="false">TRIM(PROPER('Dirty Data'!B93))</f>
        <v>Central</v>
      </c>
      <c r="C94" s="2" t="str">
        <f aca="false">_xlfn.IFS(OR('Dirty Data'!C93="M",'Dirty Data'!C93="m",'Dirty Data'!C93="Male",'Dirty Data'!C93="male"),"Male",OR('Dirty Data'!C93="F",'Dirty Data'!C93="f",'Dirty Data'!C93="Female",'Dirty Data'!C93="female",'Dirty Data'!C93="Femle"),"Female",TRUE(),"Unrecognized")</f>
        <v>Female</v>
      </c>
      <c r="D94" s="2" t="n">
        <f aca="false">'Dirty Data'!D93</f>
        <v>57</v>
      </c>
      <c r="E94" s="2" t="str">
        <f aca="false">_xlfn.IFS(D94="","Missing",D94&lt;0,"Invalid",D94&gt;120,"Invalid",TRUE(),"Valid")</f>
        <v>Valid</v>
      </c>
      <c r="F94" s="2" t="str">
        <f aca="false">IF(COUNTIFS('Dirty Data'!$B$2:$B$166,'Dirty Data'!B93,'Dirty Data'!$C$2:$C$166,'Dirty Data'!C93,'Dirty Data'!$D$2:$D$166,'Dirty Data'!D93)&gt;1,"Possible Duplicate","Unique")</f>
        <v>Unique</v>
      </c>
    </row>
    <row r="95" customFormat="false" ht="15" hidden="false" customHeight="false" outlineLevel="0" collapsed="false">
      <c r="A95" s="2" t="str">
        <f aca="false">'Dirty Data'!A94</f>
        <v>D0061</v>
      </c>
      <c r="B95" s="2" t="str">
        <f aca="false">TRIM(PROPER('Dirty Data'!B94))</f>
        <v>Eastfield</v>
      </c>
      <c r="C95" s="2" t="str">
        <f aca="false">_xlfn.IFS(OR('Dirty Data'!C94="M",'Dirty Data'!C94="m",'Dirty Data'!C94="Male",'Dirty Data'!C94="male"),"Male",OR('Dirty Data'!C94="F",'Dirty Data'!C94="f",'Dirty Data'!C94="Female",'Dirty Data'!C94="female",'Dirty Data'!C94="Femle"),"Female",TRUE(),"Unrecognized")</f>
        <v>Female</v>
      </c>
      <c r="D95" s="2" t="n">
        <f aca="false">'Dirty Data'!D94</f>
        <v>50</v>
      </c>
      <c r="E95" s="2" t="str">
        <f aca="false">_xlfn.IFS(D95="","Missing",D95&lt;0,"Invalid",D95&gt;120,"Invalid",TRUE(),"Valid")</f>
        <v>Valid</v>
      </c>
      <c r="F95" s="2" t="str">
        <f aca="false">IF(COUNTIFS('Dirty Data'!$B$2:$B$166,'Dirty Data'!B94,'Dirty Data'!$C$2:$C$166,'Dirty Data'!C94,'Dirty Data'!$D$2:$D$166,'Dirty Data'!D94)&gt;1,"Possible Duplicate","Unique")</f>
        <v>Unique</v>
      </c>
    </row>
    <row r="96" customFormat="false" ht="15" hidden="false" customHeight="false" outlineLevel="0" collapsed="false">
      <c r="A96" s="2" t="str">
        <f aca="false">'Dirty Data'!A95</f>
        <v>D0066</v>
      </c>
      <c r="B96" s="2" t="str">
        <f aca="false">TRIM(PROPER('Dirty Data'!B95))</f>
        <v>Central</v>
      </c>
      <c r="C96" s="2" t="str">
        <f aca="false">_xlfn.IFS(OR('Dirty Data'!C95="M",'Dirty Data'!C95="m",'Dirty Data'!C95="Male",'Dirty Data'!C95="male"),"Male",OR('Dirty Data'!C95="F",'Dirty Data'!C95="f",'Dirty Data'!C95="Female",'Dirty Data'!C95="female",'Dirty Data'!C95="Femle"),"Female",TRUE(),"Unrecognized")</f>
        <v>Male</v>
      </c>
      <c r="D96" s="2" t="n">
        <f aca="false">'Dirty Data'!D95</f>
        <v>76</v>
      </c>
      <c r="E96" s="2" t="str">
        <f aca="false">_xlfn.IFS(D96="","Missing",D96&lt;0,"Invalid",D96&gt;120,"Invalid",TRUE(),"Valid")</f>
        <v>Valid</v>
      </c>
      <c r="F96" s="2" t="str">
        <f aca="false">IF(COUNTIFS('Dirty Data'!$B$2:$B$166,'Dirty Data'!B95,'Dirty Data'!$C$2:$C$166,'Dirty Data'!C95,'Dirty Data'!$D$2:$D$166,'Dirty Data'!D95)&gt;1,"Possible Duplicate","Unique")</f>
        <v>Unique</v>
      </c>
    </row>
    <row r="97" customFormat="false" ht="15" hidden="false" customHeight="false" outlineLevel="0" collapsed="false">
      <c r="A97" s="2" t="str">
        <f aca="false">'Dirty Data'!A96</f>
        <v>D0025</v>
      </c>
      <c r="B97" s="2" t="str">
        <f aca="false">TRIM(PROPER('Dirty Data'!B96))</f>
        <v>Central</v>
      </c>
      <c r="C97" s="2" t="str">
        <f aca="false">_xlfn.IFS(OR('Dirty Data'!C96="M",'Dirty Data'!C96="m",'Dirty Data'!C96="Male",'Dirty Data'!C96="male"),"Male",OR('Dirty Data'!C96="F",'Dirty Data'!C96="f",'Dirty Data'!C96="Female",'Dirty Data'!C96="female",'Dirty Data'!C96="Femle"),"Female",TRUE(),"Unrecognized")</f>
        <v>Female</v>
      </c>
      <c r="D97" s="2" t="n">
        <f aca="false">'Dirty Data'!D96</f>
        <v>0</v>
      </c>
      <c r="E97" s="2" t="str">
        <f aca="false">_xlfn.IFS(D97="","Missing",D97&lt;0,"Invalid",D97&gt;120,"Invalid",TRUE(),"Valid")</f>
        <v>Missing</v>
      </c>
      <c r="F97" s="2" t="str">
        <f aca="false">IF(COUNTIFS('Dirty Data'!$B$2:$B$166,'Dirty Data'!B96,'Dirty Data'!$C$2:$C$166,'Dirty Data'!C96,'Dirty Data'!$D$2:$D$166,'Dirty Data'!D96)&gt;1,"Possible Duplicate","Unique")</f>
        <v>Unique</v>
      </c>
    </row>
    <row r="98" customFormat="false" ht="15" hidden="false" customHeight="false" outlineLevel="0" collapsed="false">
      <c r="A98" s="2" t="str">
        <f aca="false">'Dirty Data'!A97</f>
        <v>D0071</v>
      </c>
      <c r="B98" s="2" t="str">
        <f aca="false">TRIM(PROPER('Dirty Data'!B97))</f>
        <v>Eastfield</v>
      </c>
      <c r="C98" s="2" t="str">
        <f aca="false">_xlfn.IFS(OR('Dirty Data'!C97="M",'Dirty Data'!C97="m",'Dirty Data'!C97="Male",'Dirty Data'!C97="male"),"Male",OR('Dirty Data'!C97="F",'Dirty Data'!C97="f",'Dirty Data'!C97="Female",'Dirty Data'!C97="female",'Dirty Data'!C97="Femle"),"Female",TRUE(),"Unrecognized")</f>
        <v>Female</v>
      </c>
      <c r="D98" s="2" t="n">
        <f aca="false">'Dirty Data'!D97</f>
        <v>19</v>
      </c>
      <c r="E98" s="2" t="str">
        <f aca="false">_xlfn.IFS(D98="","Missing",D98&lt;0,"Invalid",D98&gt;120,"Invalid",TRUE(),"Valid")</f>
        <v>Valid</v>
      </c>
      <c r="F98" s="2" t="str">
        <f aca="false">IF(COUNTIFS('Dirty Data'!$B$2:$B$166,'Dirty Data'!B97,'Dirty Data'!$C$2:$C$166,'Dirty Data'!C97,'Dirty Data'!$D$2:$D$166,'Dirty Data'!D97)&gt;1,"Possible Duplicate","Unique")</f>
        <v>Unique</v>
      </c>
    </row>
    <row r="99" customFormat="false" ht="15" hidden="false" customHeight="false" outlineLevel="0" collapsed="false">
      <c r="A99" s="2" t="str">
        <f aca="false">'Dirty Data'!A98</f>
        <v>D0145</v>
      </c>
      <c r="B99" s="2" t="str">
        <f aca="false">TRIM(PROPER('Dirty Data'!B98))</f>
        <v>Highland</v>
      </c>
      <c r="C99" s="2" t="str">
        <f aca="false">_xlfn.IFS(OR('Dirty Data'!C98="M",'Dirty Data'!C98="m",'Dirty Data'!C98="Male",'Dirty Data'!C98="male"),"Male",OR('Dirty Data'!C98="F",'Dirty Data'!C98="f",'Dirty Data'!C98="Female",'Dirty Data'!C98="female",'Dirty Data'!C98="Femle"),"Female",TRUE(),"Unrecognized")</f>
        <v>Female</v>
      </c>
      <c r="D99" s="2" t="n">
        <f aca="false">'Dirty Data'!D98</f>
        <v>40</v>
      </c>
      <c r="E99" s="2" t="str">
        <f aca="false">_xlfn.IFS(D99="","Missing",D99&lt;0,"Invalid",D99&gt;120,"Invalid",TRUE(),"Valid")</f>
        <v>Valid</v>
      </c>
      <c r="F99" s="2" t="str">
        <f aca="false">IF(COUNTIFS('Dirty Data'!$B$2:$B$166,'Dirty Data'!B98,'Dirty Data'!$C$2:$C$166,'Dirty Data'!C98,'Dirty Data'!$D$2:$D$166,'Dirty Data'!D98)&gt;1,"Possible Duplicate","Unique")</f>
        <v>Unique</v>
      </c>
    </row>
    <row r="100" customFormat="false" ht="15" hidden="false" customHeight="false" outlineLevel="0" collapsed="false">
      <c r="A100" s="2" t="str">
        <f aca="false">'Dirty Data'!A99</f>
        <v>D0094</v>
      </c>
      <c r="B100" s="2" t="str">
        <f aca="false">TRIM(PROPER('Dirty Data'!B99))</f>
        <v>Eastfield</v>
      </c>
      <c r="C100" s="2" t="str">
        <f aca="false">_xlfn.IFS(OR('Dirty Data'!C99="M",'Dirty Data'!C99="m",'Dirty Data'!C99="Male",'Dirty Data'!C99="male"),"Male",OR('Dirty Data'!C99="F",'Dirty Data'!C99="f",'Dirty Data'!C99="Female",'Dirty Data'!C99="female",'Dirty Data'!C99="Femle"),"Female",TRUE(),"Unrecognized")</f>
        <v>Male</v>
      </c>
      <c r="D100" s="2" t="n">
        <f aca="false">'Dirty Data'!D99</f>
        <v>57</v>
      </c>
      <c r="E100" s="2" t="str">
        <f aca="false">_xlfn.IFS(D100="","Missing",D100&lt;0,"Invalid",D100&gt;120,"Invalid",TRUE(),"Valid")</f>
        <v>Valid</v>
      </c>
      <c r="F100" s="2" t="str">
        <f aca="false">IF(COUNTIFS('Dirty Data'!$B$2:$B$166,'Dirty Data'!B99,'Dirty Data'!$C$2:$C$166,'Dirty Data'!C99,'Dirty Data'!$D$2:$D$166,'Dirty Data'!D99)&gt;1,"Possible Duplicate","Unique")</f>
        <v>Possible Duplicate</v>
      </c>
    </row>
    <row r="101" customFormat="false" ht="15" hidden="false" customHeight="false" outlineLevel="0" collapsed="false">
      <c r="A101" s="2" t="str">
        <f aca="false">'Dirty Data'!A100</f>
        <v>D0113</v>
      </c>
      <c r="B101" s="2" t="str">
        <f aca="false">TRIM(PROPER('Dirty Data'!B100))</f>
        <v>Northgate</v>
      </c>
      <c r="C101" s="2" t="str">
        <f aca="false">_xlfn.IFS(OR('Dirty Data'!C100="M",'Dirty Data'!C100="m",'Dirty Data'!C100="Male",'Dirty Data'!C100="male"),"Male",OR('Dirty Data'!C100="F",'Dirty Data'!C100="f",'Dirty Data'!C100="Female",'Dirty Data'!C100="female",'Dirty Data'!C100="Femle"),"Female",TRUE(),"Unrecognized")</f>
        <v>Male</v>
      </c>
      <c r="D101" s="2" t="n">
        <f aca="false">'Dirty Data'!D100</f>
        <v>1</v>
      </c>
      <c r="E101" s="2" t="str">
        <f aca="false">_xlfn.IFS(D101="","Missing",D101&lt;0,"Invalid",D101&gt;120,"Invalid",TRUE(),"Valid")</f>
        <v>Valid</v>
      </c>
      <c r="F101" s="2" t="str">
        <f aca="false">IF(COUNTIFS('Dirty Data'!$B$2:$B$166,'Dirty Data'!B100,'Dirty Data'!$C$2:$C$166,'Dirty Data'!C100,'Dirty Data'!$D$2:$D$166,'Dirty Data'!D100)&gt;1,"Possible Duplicate","Unique")</f>
        <v>Possible Duplicate</v>
      </c>
    </row>
    <row r="102" customFormat="false" ht="15" hidden="false" customHeight="false" outlineLevel="0" collapsed="false">
      <c r="A102" s="2" t="str">
        <f aca="false">'Dirty Data'!A101</f>
        <v>D0002</v>
      </c>
      <c r="B102" s="2" t="str">
        <f aca="false">TRIM(PROPER('Dirty Data'!B101))</f>
        <v>Central</v>
      </c>
      <c r="C102" s="2" t="str">
        <f aca="false">_xlfn.IFS(OR('Dirty Data'!C101="M",'Dirty Data'!C101="m",'Dirty Data'!C101="Male",'Dirty Data'!C101="male"),"Male",OR('Dirty Data'!C101="F",'Dirty Data'!C101="f",'Dirty Data'!C101="Female",'Dirty Data'!C101="female",'Dirty Data'!C101="Femle"),"Female",TRUE(),"Unrecognized")</f>
        <v>Male</v>
      </c>
      <c r="D102" s="2" t="n">
        <f aca="false">'Dirty Data'!D101</f>
        <v>68</v>
      </c>
      <c r="E102" s="2" t="str">
        <f aca="false">_xlfn.IFS(D102="","Missing",D102&lt;0,"Invalid",D102&gt;120,"Invalid",TRUE(),"Valid")</f>
        <v>Valid</v>
      </c>
      <c r="F102" s="2" t="str">
        <f aca="false">IF(COUNTIFS('Dirty Data'!$B$2:$B$166,'Dirty Data'!B101,'Dirty Data'!$C$2:$C$166,'Dirty Data'!C101,'Dirty Data'!$D$2:$D$166,'Dirty Data'!D101)&gt;1,"Possible Duplicate","Unique")</f>
        <v>Unique</v>
      </c>
    </row>
    <row r="103" customFormat="false" ht="15" hidden="false" customHeight="false" outlineLevel="0" collapsed="false">
      <c r="A103" s="2" t="str">
        <f aca="false">'Dirty Data'!A102</f>
        <v>D0142</v>
      </c>
      <c r="B103" s="2" t="str">
        <f aca="false">TRIM(PROPER('Dirty Data'!B102))</f>
        <v>Eastfield</v>
      </c>
      <c r="C103" s="2" t="str">
        <f aca="false">_xlfn.IFS(OR('Dirty Data'!C102="M",'Dirty Data'!C102="m",'Dirty Data'!C102="Male",'Dirty Data'!C102="male"),"Male",OR('Dirty Data'!C102="F",'Dirty Data'!C102="f",'Dirty Data'!C102="Female",'Dirty Data'!C102="female",'Dirty Data'!C102="Femle"),"Female",TRUE(),"Unrecognized")</f>
        <v>Male</v>
      </c>
      <c r="D103" s="2" t="n">
        <f aca="false">'Dirty Data'!D102</f>
        <v>71</v>
      </c>
      <c r="E103" s="2" t="str">
        <f aca="false">_xlfn.IFS(D103="","Missing",D103&lt;0,"Invalid",D103&gt;120,"Invalid",TRUE(),"Valid")</f>
        <v>Valid</v>
      </c>
      <c r="F103" s="2" t="str">
        <f aca="false">IF(COUNTIFS('Dirty Data'!$B$2:$B$166,'Dirty Data'!B102,'Dirty Data'!$C$2:$C$166,'Dirty Data'!C102,'Dirty Data'!$D$2:$D$166,'Dirty Data'!D102)&gt;1,"Possible Duplicate","Unique")</f>
        <v>Possible Duplicate</v>
      </c>
    </row>
    <row r="104" customFormat="false" ht="15" hidden="false" customHeight="false" outlineLevel="0" collapsed="false">
      <c r="A104" s="2" t="str">
        <f aca="false">'Dirty Data'!A103</f>
        <v>D0033</v>
      </c>
      <c r="B104" s="2" t="str">
        <f aca="false">TRIM(PROPER('Dirty Data'!B103))</f>
        <v>Riverside</v>
      </c>
      <c r="C104" s="2" t="str">
        <f aca="false">_xlfn.IFS(OR('Dirty Data'!C103="M",'Dirty Data'!C103="m",'Dirty Data'!C103="Male",'Dirty Data'!C103="male"),"Male",OR('Dirty Data'!C103="F",'Dirty Data'!C103="f",'Dirty Data'!C103="Female",'Dirty Data'!C103="female",'Dirty Data'!C103="Femle"),"Female",TRUE(),"Unrecognized")</f>
        <v>Female</v>
      </c>
      <c r="D104" s="2" t="n">
        <f aca="false">'Dirty Data'!D103</f>
        <v>44</v>
      </c>
      <c r="E104" s="2" t="str">
        <f aca="false">_xlfn.IFS(D104="","Missing",D104&lt;0,"Invalid",D104&gt;120,"Invalid",TRUE(),"Valid")</f>
        <v>Valid</v>
      </c>
      <c r="F104" s="2" t="str">
        <f aca="false">IF(COUNTIFS('Dirty Data'!$B$2:$B$166,'Dirty Data'!B103,'Dirty Data'!$C$2:$C$166,'Dirty Data'!C103,'Dirty Data'!$D$2:$D$166,'Dirty Data'!D103)&gt;1,"Possible Duplicate","Unique")</f>
        <v>Unique</v>
      </c>
    </row>
    <row r="105" customFormat="false" ht="15" hidden="false" customHeight="false" outlineLevel="0" collapsed="false">
      <c r="A105" s="2" t="str">
        <f aca="false">'Dirty Data'!A104</f>
        <v>D0133</v>
      </c>
      <c r="B105" s="2" t="str">
        <f aca="false">TRIM(PROPER('Dirty Data'!B104))</f>
        <v>Eastfield</v>
      </c>
      <c r="C105" s="2" t="str">
        <f aca="false">_xlfn.IFS(OR('Dirty Data'!C104="M",'Dirty Data'!C104="m",'Dirty Data'!C104="Male",'Dirty Data'!C104="male"),"Male",OR('Dirty Data'!C104="F",'Dirty Data'!C104="f",'Dirty Data'!C104="Female",'Dirty Data'!C104="female",'Dirty Data'!C104="Femle"),"Female",TRUE(),"Unrecognized")</f>
        <v>Male</v>
      </c>
      <c r="D105" s="2" t="n">
        <f aca="false">'Dirty Data'!D104</f>
        <v>31</v>
      </c>
      <c r="E105" s="2" t="str">
        <f aca="false">_xlfn.IFS(D105="","Missing",D105&lt;0,"Invalid",D105&gt;120,"Invalid",TRUE(),"Valid")</f>
        <v>Valid</v>
      </c>
      <c r="F105" s="2" t="str">
        <f aca="false">IF(COUNTIFS('Dirty Data'!$B$2:$B$166,'Dirty Data'!B104,'Dirty Data'!$C$2:$C$166,'Dirty Data'!C104,'Dirty Data'!$D$2:$D$166,'Dirty Data'!D104)&gt;1,"Possible Duplicate","Unique")</f>
        <v>Possible Duplicate</v>
      </c>
    </row>
    <row r="106" customFormat="false" ht="15" hidden="false" customHeight="false" outlineLevel="0" collapsed="false">
      <c r="A106" s="2" t="str">
        <f aca="false">'Dirty Data'!A105</f>
        <v>D0103</v>
      </c>
      <c r="B106" s="2" t="str">
        <f aca="false">TRIM(PROPER('Dirty Data'!B105))</f>
        <v>Northgate</v>
      </c>
      <c r="C106" s="2" t="str">
        <f aca="false">_xlfn.IFS(OR('Dirty Data'!C105="M",'Dirty Data'!C105="m",'Dirty Data'!C105="Male",'Dirty Data'!C105="male"),"Male",OR('Dirty Data'!C105="F",'Dirty Data'!C105="f",'Dirty Data'!C105="Female",'Dirty Data'!C105="female",'Dirty Data'!C105="Femle"),"Female",TRUE(),"Unrecognized")</f>
        <v>Female</v>
      </c>
      <c r="D106" s="2" t="n">
        <f aca="false">'Dirty Data'!D105</f>
        <v>22</v>
      </c>
      <c r="E106" s="2" t="str">
        <f aca="false">_xlfn.IFS(D106="","Missing",D106&lt;0,"Invalid",D106&gt;120,"Invalid",TRUE(),"Valid")</f>
        <v>Valid</v>
      </c>
      <c r="F106" s="2" t="str">
        <f aca="false">IF(COUNTIFS('Dirty Data'!$B$2:$B$166,'Dirty Data'!B105,'Dirty Data'!$C$2:$C$166,'Dirty Data'!C105,'Dirty Data'!$D$2:$D$166,'Dirty Data'!D105)&gt;1,"Possible Duplicate","Unique")</f>
        <v>Unique</v>
      </c>
    </row>
    <row r="107" customFormat="false" ht="15" hidden="false" customHeight="false" outlineLevel="0" collapsed="false">
      <c r="A107" s="2" t="str">
        <f aca="false">'Dirty Data'!A106</f>
        <v>D0045</v>
      </c>
      <c r="B107" s="2" t="str">
        <f aca="false">TRIM(PROPER('Dirty Data'!B106))</f>
        <v>Northgate</v>
      </c>
      <c r="C107" s="2" t="str">
        <f aca="false">_xlfn.IFS(OR('Dirty Data'!C106="M",'Dirty Data'!C106="m",'Dirty Data'!C106="Male",'Dirty Data'!C106="male"),"Male",OR('Dirty Data'!C106="F",'Dirty Data'!C106="f",'Dirty Data'!C106="Female",'Dirty Data'!C106="female",'Dirty Data'!C106="Femle"),"Female",TRUE(),"Unrecognized")</f>
        <v>Female</v>
      </c>
      <c r="D107" s="2" t="n">
        <f aca="false">'Dirty Data'!D106</f>
        <v>50</v>
      </c>
      <c r="E107" s="2" t="str">
        <f aca="false">_xlfn.IFS(D107="","Missing",D107&lt;0,"Invalid",D107&gt;120,"Invalid",TRUE(),"Valid")</f>
        <v>Valid</v>
      </c>
      <c r="F107" s="2" t="str">
        <f aca="false">IF(COUNTIFS('Dirty Data'!$B$2:$B$166,'Dirty Data'!B106,'Dirty Data'!$C$2:$C$166,'Dirty Data'!C106,'Dirty Data'!$D$2:$D$166,'Dirty Data'!D106)&gt;1,"Possible Duplicate","Unique")</f>
        <v>Unique</v>
      </c>
    </row>
    <row r="108" customFormat="false" ht="15" hidden="false" customHeight="false" outlineLevel="0" collapsed="false">
      <c r="A108" s="2" t="str">
        <f aca="false">'Dirty Data'!A107</f>
        <v>D0035</v>
      </c>
      <c r="B108" s="2" t="str">
        <f aca="false">TRIM(PROPER('Dirty Data'!B107))</f>
        <v>Highland</v>
      </c>
      <c r="C108" s="2" t="str">
        <f aca="false">_xlfn.IFS(OR('Dirty Data'!C107="M",'Dirty Data'!C107="m",'Dirty Data'!C107="Male",'Dirty Data'!C107="male"),"Male",OR('Dirty Data'!C107="F",'Dirty Data'!C107="f",'Dirty Data'!C107="Female",'Dirty Data'!C107="female",'Dirty Data'!C107="Femle"),"Female",TRUE(),"Unrecognized")</f>
        <v>Male</v>
      </c>
      <c r="D108" s="2" t="n">
        <f aca="false">'Dirty Data'!D107</f>
        <v>11</v>
      </c>
      <c r="E108" s="2" t="str">
        <f aca="false">_xlfn.IFS(D108="","Missing",D108&lt;0,"Invalid",D108&gt;120,"Invalid",TRUE(),"Valid")</f>
        <v>Valid</v>
      </c>
      <c r="F108" s="2" t="str">
        <f aca="false">IF(COUNTIFS('Dirty Data'!$B$2:$B$166,'Dirty Data'!B107,'Dirty Data'!$C$2:$C$166,'Dirty Data'!C107,'Dirty Data'!$D$2:$D$166,'Dirty Data'!D107)&gt;1,"Possible Duplicate","Unique")</f>
        <v>Unique</v>
      </c>
    </row>
    <row r="109" customFormat="false" ht="15" hidden="false" customHeight="false" outlineLevel="0" collapsed="false">
      <c r="A109" s="2" t="str">
        <f aca="false">'Dirty Data'!A108</f>
        <v>D0141</v>
      </c>
      <c r="B109" s="2" t="str">
        <f aca="false">TRIM(PROPER('Dirty Data'!B108))</f>
        <v>Highland</v>
      </c>
      <c r="C109" s="2" t="str">
        <f aca="false">_xlfn.IFS(OR('Dirty Data'!C108="M",'Dirty Data'!C108="m",'Dirty Data'!C108="Male",'Dirty Data'!C108="male"),"Male",OR('Dirty Data'!C108="F",'Dirty Data'!C108="f",'Dirty Data'!C108="Female",'Dirty Data'!C108="female",'Dirty Data'!C108="Femle"),"Female",TRUE(),"Unrecognized")</f>
        <v>Female</v>
      </c>
      <c r="D109" s="2" t="n">
        <f aca="false">'Dirty Data'!D108</f>
        <v>31</v>
      </c>
      <c r="E109" s="2" t="str">
        <f aca="false">_xlfn.IFS(D109="","Missing",D109&lt;0,"Invalid",D109&gt;120,"Invalid",TRUE(),"Valid")</f>
        <v>Valid</v>
      </c>
      <c r="F109" s="2" t="str">
        <f aca="false">IF(COUNTIFS('Dirty Data'!$B$2:$B$166,'Dirty Data'!B108,'Dirty Data'!$C$2:$C$166,'Dirty Data'!C108,'Dirty Data'!$D$2:$D$166,'Dirty Data'!D108)&gt;1,"Possible Duplicate","Unique")</f>
        <v>Unique</v>
      </c>
    </row>
    <row r="110" customFormat="false" ht="15" hidden="false" customHeight="false" outlineLevel="0" collapsed="false">
      <c r="A110" s="2" t="str">
        <f aca="false">'Dirty Data'!A109</f>
        <v>D0087</v>
      </c>
      <c r="B110" s="2" t="str">
        <f aca="false">TRIM(PROPER('Dirty Data'!B109))</f>
        <v>Riverside</v>
      </c>
      <c r="C110" s="2" t="str">
        <f aca="false">_xlfn.IFS(OR('Dirty Data'!C109="M",'Dirty Data'!C109="m",'Dirty Data'!C109="Male",'Dirty Data'!C109="male"),"Male",OR('Dirty Data'!C109="F",'Dirty Data'!C109="f",'Dirty Data'!C109="Female",'Dirty Data'!C109="female",'Dirty Data'!C109="Femle"),"Female",TRUE(),"Unrecognized")</f>
        <v>Female</v>
      </c>
      <c r="D110" s="2" t="n">
        <f aca="false">'Dirty Data'!D109</f>
        <v>0</v>
      </c>
      <c r="E110" s="2" t="str">
        <f aca="false">_xlfn.IFS(D110="","Missing",D110&lt;0,"Invalid",D110&gt;120,"Invalid",TRUE(),"Valid")</f>
        <v>Missing</v>
      </c>
      <c r="F110" s="2" t="str">
        <f aca="false">IF(COUNTIFS('Dirty Data'!$B$2:$B$166,'Dirty Data'!B109,'Dirty Data'!$C$2:$C$166,'Dirty Data'!C109,'Dirty Data'!$D$2:$D$166,'Dirty Data'!D109)&gt;1,"Possible Duplicate","Unique")</f>
        <v>Unique</v>
      </c>
    </row>
    <row r="111" customFormat="false" ht="15" hidden="false" customHeight="false" outlineLevel="0" collapsed="false">
      <c r="A111" s="2" t="str">
        <f aca="false">'Dirty Data'!A110</f>
        <v>D0065</v>
      </c>
      <c r="B111" s="2" t="str">
        <f aca="false">TRIM(PROPER('Dirty Data'!B110))</f>
        <v>Northgate</v>
      </c>
      <c r="C111" s="2" t="str">
        <f aca="false">_xlfn.IFS(OR('Dirty Data'!C110="M",'Dirty Data'!C110="m",'Dirty Data'!C110="Male",'Dirty Data'!C110="male"),"Male",OR('Dirty Data'!C110="F",'Dirty Data'!C110="f",'Dirty Data'!C110="Female",'Dirty Data'!C110="female",'Dirty Data'!C110="Femle"),"Female",TRUE(),"Unrecognized")</f>
        <v>Female</v>
      </c>
      <c r="D111" s="2" t="n">
        <f aca="false">'Dirty Data'!D110</f>
        <v>20</v>
      </c>
      <c r="E111" s="2" t="str">
        <f aca="false">_xlfn.IFS(D111="","Missing",D111&lt;0,"Invalid",D111&gt;120,"Invalid",TRUE(),"Valid")</f>
        <v>Valid</v>
      </c>
      <c r="F111" s="2" t="str">
        <f aca="false">IF(COUNTIFS('Dirty Data'!$B$2:$B$166,'Dirty Data'!B110,'Dirty Data'!$C$2:$C$166,'Dirty Data'!C110,'Dirty Data'!$D$2:$D$166,'Dirty Data'!D110)&gt;1,"Possible Duplicate","Unique")</f>
        <v>Unique</v>
      </c>
    </row>
    <row r="112" customFormat="false" ht="15" hidden="false" customHeight="false" outlineLevel="0" collapsed="false">
      <c r="A112" s="2" t="str">
        <f aca="false">'Dirty Data'!A111</f>
        <v>D0058</v>
      </c>
      <c r="B112" s="2" t="str">
        <f aca="false">TRIM(PROPER('Dirty Data'!B111))</f>
        <v>Eastfield</v>
      </c>
      <c r="C112" s="2" t="str">
        <f aca="false">_xlfn.IFS(OR('Dirty Data'!C111="M",'Dirty Data'!C111="m",'Dirty Data'!C111="Male",'Dirty Data'!C111="male"),"Male",OR('Dirty Data'!C111="F",'Dirty Data'!C111="f",'Dirty Data'!C111="Female",'Dirty Data'!C111="female",'Dirty Data'!C111="Femle"),"Female",TRUE(),"Unrecognized")</f>
        <v>Male</v>
      </c>
      <c r="D112" s="2" t="n">
        <f aca="false">'Dirty Data'!D111</f>
        <v>0</v>
      </c>
      <c r="E112" s="2" t="str">
        <f aca="false">_xlfn.IFS(D112="","Missing",D112&lt;0,"Invalid",D112&gt;120,"Invalid",TRUE(),"Valid")</f>
        <v>Missing</v>
      </c>
      <c r="F112" s="2" t="str">
        <f aca="false">IF(COUNTIFS('Dirty Data'!$B$2:$B$166,'Dirty Data'!B111,'Dirty Data'!$C$2:$C$166,'Dirty Data'!C111,'Dirty Data'!$D$2:$D$166,'Dirty Data'!D111)&gt;1,"Possible Duplicate","Unique")</f>
        <v>Unique</v>
      </c>
    </row>
    <row r="113" customFormat="false" ht="15" hidden="false" customHeight="false" outlineLevel="0" collapsed="false">
      <c r="A113" s="2" t="str">
        <f aca="false">'Dirty Data'!A112</f>
        <v>D0038</v>
      </c>
      <c r="B113" s="2" t="str">
        <f aca="false">TRIM(PROPER('Dirty Data'!B112))</f>
        <v>Riverside</v>
      </c>
      <c r="C113" s="2" t="str">
        <f aca="false">_xlfn.IFS(OR('Dirty Data'!C112="M",'Dirty Data'!C112="m",'Dirty Data'!C112="Male",'Dirty Data'!C112="male"),"Male",OR('Dirty Data'!C112="F",'Dirty Data'!C112="f",'Dirty Data'!C112="Female",'Dirty Data'!C112="female",'Dirty Data'!C112="Femle"),"Female",TRUE(),"Unrecognized")</f>
        <v>Female</v>
      </c>
      <c r="D113" s="2" t="n">
        <f aca="false">'Dirty Data'!D112</f>
        <v>73</v>
      </c>
      <c r="E113" s="2" t="str">
        <f aca="false">_xlfn.IFS(D113="","Missing",D113&lt;0,"Invalid",D113&gt;120,"Invalid",TRUE(),"Valid")</f>
        <v>Valid</v>
      </c>
      <c r="F113" s="2" t="str">
        <f aca="false">IF(COUNTIFS('Dirty Data'!$B$2:$B$166,'Dirty Data'!B112,'Dirty Data'!$C$2:$C$166,'Dirty Data'!C112,'Dirty Data'!$D$2:$D$166,'Dirty Data'!D112)&gt;1,"Possible Duplicate","Unique")</f>
        <v>Unique</v>
      </c>
    </row>
    <row r="114" customFormat="false" ht="15" hidden="false" customHeight="false" outlineLevel="0" collapsed="false">
      <c r="A114" s="2" t="str">
        <f aca="false">'Dirty Data'!A113</f>
        <v>D0027</v>
      </c>
      <c r="B114" s="2" t="str">
        <f aca="false">TRIM(PROPER('Dirty Data'!B113))</f>
        <v>Highland</v>
      </c>
      <c r="C114" s="2" t="str">
        <f aca="false">_xlfn.IFS(OR('Dirty Data'!C113="M",'Dirty Data'!C113="m",'Dirty Data'!C113="Male",'Dirty Data'!C113="male"),"Male",OR('Dirty Data'!C113="F",'Dirty Data'!C113="f",'Dirty Data'!C113="Female",'Dirty Data'!C113="female",'Dirty Data'!C113="Femle"),"Female",TRUE(),"Unrecognized")</f>
        <v>Male</v>
      </c>
      <c r="D114" s="2" t="n">
        <f aca="false">'Dirty Data'!D113</f>
        <v>77</v>
      </c>
      <c r="E114" s="2" t="str">
        <f aca="false">_xlfn.IFS(D114="","Missing",D114&lt;0,"Invalid",D114&gt;120,"Invalid",TRUE(),"Valid")</f>
        <v>Valid</v>
      </c>
      <c r="F114" s="2" t="str">
        <f aca="false">IF(COUNTIFS('Dirty Data'!$B$2:$B$166,'Dirty Data'!B113,'Dirty Data'!$C$2:$C$166,'Dirty Data'!C113,'Dirty Data'!$D$2:$D$166,'Dirty Data'!D113)&gt;1,"Possible Duplicate","Unique")</f>
        <v>Possible Duplicate</v>
      </c>
    </row>
    <row r="115" customFormat="false" ht="15" hidden="false" customHeight="false" outlineLevel="0" collapsed="false">
      <c r="A115" s="2" t="str">
        <f aca="false">'Dirty Data'!A114</f>
        <v>D0098</v>
      </c>
      <c r="B115" s="2" t="str">
        <f aca="false">TRIM(PROPER('Dirty Data'!B114))</f>
        <v>Northgate</v>
      </c>
      <c r="C115" s="2" t="str">
        <f aca="false">_xlfn.IFS(OR('Dirty Data'!C114="M",'Dirty Data'!C114="m",'Dirty Data'!C114="Male",'Dirty Data'!C114="male"),"Male",OR('Dirty Data'!C114="F",'Dirty Data'!C114="f",'Dirty Data'!C114="Female",'Dirty Data'!C114="female",'Dirty Data'!C114="Femle"),"Female",TRUE(),"Unrecognized")</f>
        <v>Female</v>
      </c>
      <c r="D115" s="2" t="n">
        <f aca="false">'Dirty Data'!D114</f>
        <v>79</v>
      </c>
      <c r="E115" s="2" t="str">
        <f aca="false">_xlfn.IFS(D115="","Missing",D115&lt;0,"Invalid",D115&gt;120,"Invalid",TRUE(),"Valid")</f>
        <v>Valid</v>
      </c>
      <c r="F115" s="2" t="str">
        <f aca="false">IF(COUNTIFS('Dirty Data'!$B$2:$B$166,'Dirty Data'!B114,'Dirty Data'!$C$2:$C$166,'Dirty Data'!C114,'Dirty Data'!$D$2:$D$166,'Dirty Data'!D114)&gt;1,"Possible Duplicate","Unique")</f>
        <v>Unique</v>
      </c>
    </row>
    <row r="116" customFormat="false" ht="15" hidden="false" customHeight="false" outlineLevel="0" collapsed="false">
      <c r="A116" s="2" t="str">
        <f aca="false">'Dirty Data'!A115</f>
        <v>D0094</v>
      </c>
      <c r="B116" s="2" t="str">
        <f aca="false">TRIM(PROPER('Dirty Data'!B115))</f>
        <v>Eastfield</v>
      </c>
      <c r="C116" s="2" t="str">
        <f aca="false">_xlfn.IFS(OR('Dirty Data'!C115="M",'Dirty Data'!C115="m",'Dirty Data'!C115="Male",'Dirty Data'!C115="male"),"Male",OR('Dirty Data'!C115="F",'Dirty Data'!C115="f",'Dirty Data'!C115="Female",'Dirty Data'!C115="female",'Dirty Data'!C115="Femle"),"Female",TRUE(),"Unrecognized")</f>
        <v>Male</v>
      </c>
      <c r="D116" s="2" t="n">
        <f aca="false">'Dirty Data'!D115</f>
        <v>57</v>
      </c>
      <c r="E116" s="2" t="str">
        <f aca="false">_xlfn.IFS(D116="","Missing",D116&lt;0,"Invalid",D116&gt;120,"Invalid",TRUE(),"Valid")</f>
        <v>Valid</v>
      </c>
      <c r="F116" s="2" t="str">
        <f aca="false">IF(COUNTIFS('Dirty Data'!$B$2:$B$166,'Dirty Data'!B115,'Dirty Data'!$C$2:$C$166,'Dirty Data'!C115,'Dirty Data'!$D$2:$D$166,'Dirty Data'!D115)&gt;1,"Possible Duplicate","Unique")</f>
        <v>Possible Duplicate</v>
      </c>
    </row>
    <row r="117" customFormat="false" ht="15" hidden="false" customHeight="false" outlineLevel="0" collapsed="false">
      <c r="A117" s="2" t="str">
        <f aca="false">'Dirty Data'!A116</f>
        <v>D0134</v>
      </c>
      <c r="B117" s="2" t="str">
        <f aca="false">TRIM(PROPER('Dirty Data'!B116))</f>
        <v>Northgate</v>
      </c>
      <c r="C117" s="2" t="str">
        <f aca="false">_xlfn.IFS(OR('Dirty Data'!C116="M",'Dirty Data'!C116="m",'Dirty Data'!C116="Male",'Dirty Data'!C116="male"),"Male",OR('Dirty Data'!C116="F",'Dirty Data'!C116="f",'Dirty Data'!C116="Female",'Dirty Data'!C116="female",'Dirty Data'!C116="Femle"),"Female",TRUE(),"Unrecognized")</f>
        <v>Male</v>
      </c>
      <c r="D117" s="2" t="n">
        <f aca="false">'Dirty Data'!D116</f>
        <v>5</v>
      </c>
      <c r="E117" s="2" t="str">
        <f aca="false">_xlfn.IFS(D117="","Missing",D117&lt;0,"Invalid",D117&gt;120,"Invalid",TRUE(),"Valid")</f>
        <v>Valid</v>
      </c>
      <c r="F117" s="2" t="str">
        <f aca="false">IF(COUNTIFS('Dirty Data'!$B$2:$B$166,'Dirty Data'!B116,'Dirty Data'!$C$2:$C$166,'Dirty Data'!C116,'Dirty Data'!$D$2:$D$166,'Dirty Data'!D116)&gt;1,"Possible Duplicate","Unique")</f>
        <v>Unique</v>
      </c>
    </row>
    <row r="118" customFormat="false" ht="15" hidden="false" customHeight="false" outlineLevel="0" collapsed="false">
      <c r="A118" s="2" t="str">
        <f aca="false">'Dirty Data'!A117</f>
        <v>D0081</v>
      </c>
      <c r="B118" s="2" t="str">
        <f aca="false">TRIM(PROPER('Dirty Data'!B117))</f>
        <v>Northgate</v>
      </c>
      <c r="C118" s="2" t="str">
        <f aca="false">_xlfn.IFS(OR('Dirty Data'!C117="M",'Dirty Data'!C117="m",'Dirty Data'!C117="Male",'Dirty Data'!C117="male"),"Male",OR('Dirty Data'!C117="F",'Dirty Data'!C117="f",'Dirty Data'!C117="Female",'Dirty Data'!C117="female",'Dirty Data'!C117="Femle"),"Female",TRUE(),"Unrecognized")</f>
        <v>Female</v>
      </c>
      <c r="D118" s="2" t="n">
        <f aca="false">'Dirty Data'!D117</f>
        <v>69</v>
      </c>
      <c r="E118" s="2" t="str">
        <f aca="false">_xlfn.IFS(D118="","Missing",D118&lt;0,"Invalid",D118&gt;120,"Invalid",TRUE(),"Valid")</f>
        <v>Valid</v>
      </c>
      <c r="F118" s="2" t="str">
        <f aca="false">IF(COUNTIFS('Dirty Data'!$B$2:$B$166,'Dirty Data'!B117,'Dirty Data'!$C$2:$C$166,'Dirty Data'!C117,'Dirty Data'!$D$2:$D$166,'Dirty Data'!D117)&gt;1,"Possible Duplicate","Unique")</f>
        <v>Unique</v>
      </c>
    </row>
    <row r="119" customFormat="false" ht="15" hidden="false" customHeight="false" outlineLevel="0" collapsed="false">
      <c r="A119" s="2" t="str">
        <f aca="false">'Dirty Data'!A118</f>
        <v>D0040</v>
      </c>
      <c r="B119" s="2" t="str">
        <f aca="false">TRIM(PROPER('Dirty Data'!B118))</f>
        <v>Highland</v>
      </c>
      <c r="C119" s="2" t="str">
        <f aca="false">_xlfn.IFS(OR('Dirty Data'!C118="M",'Dirty Data'!C118="m",'Dirty Data'!C118="Male",'Dirty Data'!C118="male"),"Male",OR('Dirty Data'!C118="F",'Dirty Data'!C118="f",'Dirty Data'!C118="Female",'Dirty Data'!C118="female",'Dirty Data'!C118="Femle"),"Female",TRUE(),"Unrecognized")</f>
        <v>Female</v>
      </c>
      <c r="D119" s="2" t="n">
        <f aca="false">'Dirty Data'!D118</f>
        <v>44</v>
      </c>
      <c r="E119" s="2" t="str">
        <f aca="false">_xlfn.IFS(D119="","Missing",D119&lt;0,"Invalid",D119&gt;120,"Invalid",TRUE(),"Valid")</f>
        <v>Valid</v>
      </c>
      <c r="F119" s="2" t="str">
        <f aca="false">IF(COUNTIFS('Dirty Data'!$B$2:$B$166,'Dirty Data'!B118,'Dirty Data'!$C$2:$C$166,'Dirty Data'!C118,'Dirty Data'!$D$2:$D$166,'Dirty Data'!D118)&gt;1,"Possible Duplicate","Unique")</f>
        <v>Possible Duplicate</v>
      </c>
    </row>
    <row r="120" customFormat="false" ht="15" hidden="false" customHeight="false" outlineLevel="0" collapsed="false">
      <c r="A120" s="2" t="str">
        <f aca="false">'Dirty Data'!A119</f>
        <v>D0026</v>
      </c>
      <c r="B120" s="2" t="str">
        <f aca="false">TRIM(PROPER('Dirty Data'!B119))</f>
        <v>Eastfield</v>
      </c>
      <c r="C120" s="2" t="str">
        <f aca="false">_xlfn.IFS(OR('Dirty Data'!C119="M",'Dirty Data'!C119="m",'Dirty Data'!C119="Male",'Dirty Data'!C119="male"),"Male",OR('Dirty Data'!C119="F",'Dirty Data'!C119="f",'Dirty Data'!C119="Female",'Dirty Data'!C119="female",'Dirty Data'!C119="Femle"),"Female",TRUE(),"Unrecognized")</f>
        <v>Female</v>
      </c>
      <c r="D120" s="2" t="n">
        <f aca="false">'Dirty Data'!D119</f>
        <v>43</v>
      </c>
      <c r="E120" s="2" t="str">
        <f aca="false">_xlfn.IFS(D120="","Missing",D120&lt;0,"Invalid",D120&gt;120,"Invalid",TRUE(),"Valid")</f>
        <v>Valid</v>
      </c>
      <c r="F120" s="2" t="str">
        <f aca="false">IF(COUNTIFS('Dirty Data'!$B$2:$B$166,'Dirty Data'!B119,'Dirty Data'!$C$2:$C$166,'Dirty Data'!C119,'Dirty Data'!$D$2:$D$166,'Dirty Data'!D119)&gt;1,"Possible Duplicate","Unique")</f>
        <v>Unique</v>
      </c>
    </row>
    <row r="121" customFormat="false" ht="15" hidden="false" customHeight="false" outlineLevel="0" collapsed="false">
      <c r="A121" s="2" t="str">
        <f aca="false">'Dirty Data'!A120</f>
        <v>D0024</v>
      </c>
      <c r="B121" s="2" t="str">
        <f aca="false">TRIM(PROPER('Dirty Data'!B120))</f>
        <v>Northgate</v>
      </c>
      <c r="C121" s="2" t="str">
        <f aca="false">_xlfn.IFS(OR('Dirty Data'!C120="M",'Dirty Data'!C120="m",'Dirty Data'!C120="Male",'Dirty Data'!C120="male"),"Male",OR('Dirty Data'!C120="F",'Dirty Data'!C120="f",'Dirty Data'!C120="Female",'Dirty Data'!C120="female",'Dirty Data'!C120="Femle"),"Female",TRUE(),"Unrecognized")</f>
        <v>Female</v>
      </c>
      <c r="D121" s="2" t="n">
        <f aca="false">'Dirty Data'!D120</f>
        <v>31</v>
      </c>
      <c r="E121" s="2" t="str">
        <f aca="false">_xlfn.IFS(D121="","Missing",D121&lt;0,"Invalid",D121&gt;120,"Invalid",TRUE(),"Valid")</f>
        <v>Valid</v>
      </c>
      <c r="F121" s="2" t="str">
        <f aca="false">IF(COUNTIFS('Dirty Data'!$B$2:$B$166,'Dirty Data'!B120,'Dirty Data'!$C$2:$C$166,'Dirty Data'!C120,'Dirty Data'!$D$2:$D$166,'Dirty Data'!D120)&gt;1,"Possible Duplicate","Unique")</f>
        <v>Unique</v>
      </c>
    </row>
    <row r="122" customFormat="false" ht="15" hidden="false" customHeight="false" outlineLevel="0" collapsed="false">
      <c r="A122" s="2" t="str">
        <f aca="false">'Dirty Data'!A121</f>
        <v>D0007</v>
      </c>
      <c r="B122" s="2" t="str">
        <f aca="false">TRIM(PROPER('Dirty Data'!B121))</f>
        <v>Central</v>
      </c>
      <c r="C122" s="2" t="str">
        <f aca="false">_xlfn.IFS(OR('Dirty Data'!C121="M",'Dirty Data'!C121="m",'Dirty Data'!C121="Male",'Dirty Data'!C121="male"),"Male",OR('Dirty Data'!C121="F",'Dirty Data'!C121="f",'Dirty Data'!C121="Female",'Dirty Data'!C121="female",'Dirty Data'!C121="Femle"),"Female",TRUE(),"Unrecognized")</f>
        <v>Female</v>
      </c>
      <c r="D122" s="2" t="n">
        <f aca="false">'Dirty Data'!D121</f>
        <v>54</v>
      </c>
      <c r="E122" s="2" t="str">
        <f aca="false">_xlfn.IFS(D122="","Missing",D122&lt;0,"Invalid",D122&gt;120,"Invalid",TRUE(),"Valid")</f>
        <v>Valid</v>
      </c>
      <c r="F122" s="2" t="str">
        <f aca="false">IF(COUNTIFS('Dirty Data'!$B$2:$B$166,'Dirty Data'!B121,'Dirty Data'!$C$2:$C$166,'Dirty Data'!C121,'Dirty Data'!$D$2:$D$166,'Dirty Data'!D121)&gt;1,"Possible Duplicate","Unique")</f>
        <v>Unique</v>
      </c>
    </row>
    <row r="123" customFormat="false" ht="15" hidden="false" customHeight="false" outlineLevel="0" collapsed="false">
      <c r="A123" s="2" t="str">
        <f aca="false">'Dirty Data'!A122</f>
        <v>D0129</v>
      </c>
      <c r="B123" s="2" t="str">
        <f aca="false">TRIM(PROPER('Dirty Data'!B122))</f>
        <v>Eastfield</v>
      </c>
      <c r="C123" s="2" t="str">
        <f aca="false">_xlfn.IFS(OR('Dirty Data'!C122="M",'Dirty Data'!C122="m",'Dirty Data'!C122="Male",'Dirty Data'!C122="male"),"Male",OR('Dirty Data'!C122="F",'Dirty Data'!C122="f",'Dirty Data'!C122="Female",'Dirty Data'!C122="female",'Dirty Data'!C122="Femle"),"Female",TRUE(),"Unrecognized")</f>
        <v>Female</v>
      </c>
      <c r="D123" s="2" t="n">
        <f aca="false">'Dirty Data'!D122</f>
        <v>15</v>
      </c>
      <c r="E123" s="2" t="str">
        <f aca="false">_xlfn.IFS(D123="","Missing",D123&lt;0,"Invalid",D123&gt;120,"Invalid",TRUE(),"Valid")</f>
        <v>Valid</v>
      </c>
      <c r="F123" s="2" t="str">
        <f aca="false">IF(COUNTIFS('Dirty Data'!$B$2:$B$166,'Dirty Data'!B122,'Dirty Data'!$C$2:$C$166,'Dirty Data'!C122,'Dirty Data'!$D$2:$D$166,'Dirty Data'!D122)&gt;1,"Possible Duplicate","Unique")</f>
        <v>Unique</v>
      </c>
    </row>
    <row r="124" customFormat="false" ht="15" hidden="false" customHeight="false" outlineLevel="0" collapsed="false">
      <c r="A124" s="2" t="str">
        <f aca="false">'Dirty Data'!A123</f>
        <v>D0021</v>
      </c>
      <c r="B124" s="2" t="str">
        <f aca="false">TRIM(PROPER('Dirty Data'!B123))</f>
        <v>Eastfield</v>
      </c>
      <c r="C124" s="2" t="str">
        <f aca="false">_xlfn.IFS(OR('Dirty Data'!C123="M",'Dirty Data'!C123="m",'Dirty Data'!C123="Male",'Dirty Data'!C123="male"),"Male",OR('Dirty Data'!C123="F",'Dirty Data'!C123="f",'Dirty Data'!C123="Female",'Dirty Data'!C123="female",'Dirty Data'!C123="Femle"),"Female",TRUE(),"Unrecognized")</f>
        <v>Female</v>
      </c>
      <c r="D124" s="2" t="n">
        <f aca="false">'Dirty Data'!D123</f>
        <v>40</v>
      </c>
      <c r="E124" s="2" t="str">
        <f aca="false">_xlfn.IFS(D124="","Missing",D124&lt;0,"Invalid",D124&gt;120,"Invalid",TRUE(),"Valid")</f>
        <v>Valid</v>
      </c>
      <c r="F124" s="2" t="str">
        <f aca="false">IF(COUNTIFS('Dirty Data'!$B$2:$B$166,'Dirty Data'!B123,'Dirty Data'!$C$2:$C$166,'Dirty Data'!C123,'Dirty Data'!$D$2:$D$166,'Dirty Data'!D123)&gt;1,"Possible Duplicate","Unique")</f>
        <v>Possible Duplicate</v>
      </c>
    </row>
    <row r="125" customFormat="false" ht="15" hidden="false" customHeight="false" outlineLevel="0" collapsed="false">
      <c r="A125" s="2" t="str">
        <f aca="false">'Dirty Data'!A124</f>
        <v>D0005</v>
      </c>
      <c r="B125" s="2" t="str">
        <f aca="false">TRIM(PROPER('Dirty Data'!B124))</f>
        <v>Central</v>
      </c>
      <c r="C125" s="2" t="str">
        <f aca="false">_xlfn.IFS(OR('Dirty Data'!C124="M",'Dirty Data'!C124="m",'Dirty Data'!C124="Male",'Dirty Data'!C124="male"),"Male",OR('Dirty Data'!C124="F",'Dirty Data'!C124="f",'Dirty Data'!C124="Female",'Dirty Data'!C124="female",'Dirty Data'!C124="Femle"),"Female",TRUE(),"Unrecognized")</f>
        <v>Male</v>
      </c>
      <c r="D125" s="2" t="n">
        <f aca="false">'Dirty Data'!D124</f>
        <v>55</v>
      </c>
      <c r="E125" s="2" t="str">
        <f aca="false">_xlfn.IFS(D125="","Missing",D125&lt;0,"Invalid",D125&gt;120,"Invalid",TRUE(),"Valid")</f>
        <v>Valid</v>
      </c>
      <c r="F125" s="2" t="str">
        <f aca="false">IF(COUNTIFS('Dirty Data'!$B$2:$B$166,'Dirty Data'!B124,'Dirty Data'!$C$2:$C$166,'Dirty Data'!C124,'Dirty Data'!$D$2:$D$166,'Dirty Data'!D124)&gt;1,"Possible Duplicate","Unique")</f>
        <v>Possible Duplicate</v>
      </c>
    </row>
    <row r="126" customFormat="false" ht="15" hidden="false" customHeight="false" outlineLevel="0" collapsed="false">
      <c r="A126" s="2" t="str">
        <f aca="false">'Dirty Data'!A125</f>
        <v>D0121</v>
      </c>
      <c r="B126" s="2" t="str">
        <f aca="false">TRIM(PROPER('Dirty Data'!B125))</f>
        <v>Central</v>
      </c>
      <c r="C126" s="2" t="str">
        <f aca="false">_xlfn.IFS(OR('Dirty Data'!C125="M",'Dirty Data'!C125="m",'Dirty Data'!C125="Male",'Dirty Data'!C125="male"),"Male",OR('Dirty Data'!C125="F",'Dirty Data'!C125="f",'Dirty Data'!C125="Female",'Dirty Data'!C125="female",'Dirty Data'!C125="Femle"),"Female",TRUE(),"Unrecognized")</f>
        <v>Female</v>
      </c>
      <c r="D126" s="2" t="n">
        <f aca="false">'Dirty Data'!D125</f>
        <v>45</v>
      </c>
      <c r="E126" s="2" t="str">
        <f aca="false">_xlfn.IFS(D126="","Missing",D126&lt;0,"Invalid",D126&gt;120,"Invalid",TRUE(),"Valid")</f>
        <v>Valid</v>
      </c>
      <c r="F126" s="2" t="str">
        <f aca="false">IF(COUNTIFS('Dirty Data'!$B$2:$B$166,'Dirty Data'!B125,'Dirty Data'!$C$2:$C$166,'Dirty Data'!C125,'Dirty Data'!$D$2:$D$166,'Dirty Data'!D125)&gt;1,"Possible Duplicate","Unique")</f>
        <v>Unique</v>
      </c>
    </row>
    <row r="127" customFormat="false" ht="15" hidden="false" customHeight="false" outlineLevel="0" collapsed="false">
      <c r="A127" s="2" t="str">
        <f aca="false">'Dirty Data'!A126</f>
        <v>D0031</v>
      </c>
      <c r="B127" s="2" t="str">
        <f aca="false">TRIM(PROPER('Dirty Data'!B126))</f>
        <v>Central</v>
      </c>
      <c r="C127" s="2" t="str">
        <f aca="false">_xlfn.IFS(OR('Dirty Data'!C126="M",'Dirty Data'!C126="m",'Dirty Data'!C126="Male",'Dirty Data'!C126="male"),"Male",OR('Dirty Data'!C126="F",'Dirty Data'!C126="f",'Dirty Data'!C126="Female",'Dirty Data'!C126="female",'Dirty Data'!C126="Femle"),"Female",TRUE(),"Unrecognized")</f>
        <v>Female</v>
      </c>
      <c r="D127" s="2" t="n">
        <f aca="false">'Dirty Data'!D126</f>
        <v>9</v>
      </c>
      <c r="E127" s="2" t="str">
        <f aca="false">_xlfn.IFS(D127="","Missing",D127&lt;0,"Invalid",D127&gt;120,"Invalid",TRUE(),"Valid")</f>
        <v>Valid</v>
      </c>
      <c r="F127" s="2" t="str">
        <f aca="false">IF(COUNTIFS('Dirty Data'!$B$2:$B$166,'Dirty Data'!B126,'Dirty Data'!$C$2:$C$166,'Dirty Data'!C126,'Dirty Data'!$D$2:$D$166,'Dirty Data'!D126)&gt;1,"Possible Duplicate","Unique")</f>
        <v>Unique</v>
      </c>
    </row>
    <row r="128" customFormat="false" ht="15" hidden="false" customHeight="false" outlineLevel="0" collapsed="false">
      <c r="A128" s="2" t="str">
        <f aca="false">'Dirty Data'!A127</f>
        <v>D0091</v>
      </c>
      <c r="B128" s="2" t="str">
        <f aca="false">TRIM(PROPER('Dirty Data'!B127))</f>
        <v>Highland</v>
      </c>
      <c r="C128" s="2" t="str">
        <f aca="false">_xlfn.IFS(OR('Dirty Data'!C127="M",'Dirty Data'!C127="m",'Dirty Data'!C127="Male",'Dirty Data'!C127="male"),"Male",OR('Dirty Data'!C127="F",'Dirty Data'!C127="f",'Dirty Data'!C127="Female",'Dirty Data'!C127="female",'Dirty Data'!C127="Femle"),"Female",TRUE(),"Unrecognized")</f>
        <v>Male</v>
      </c>
      <c r="D128" s="2" t="n">
        <f aca="false">'Dirty Data'!D127</f>
        <v>93</v>
      </c>
      <c r="E128" s="2" t="str">
        <f aca="false">_xlfn.IFS(D128="","Missing",D128&lt;0,"Invalid",D128&gt;120,"Invalid",TRUE(),"Valid")</f>
        <v>Valid</v>
      </c>
      <c r="F128" s="2" t="str">
        <f aca="false">IF(COUNTIFS('Dirty Data'!$B$2:$B$166,'Dirty Data'!B127,'Dirty Data'!$C$2:$C$166,'Dirty Data'!C127,'Dirty Data'!$D$2:$D$166,'Dirty Data'!D127)&gt;1,"Possible Duplicate","Unique")</f>
        <v>Unique</v>
      </c>
    </row>
    <row r="129" customFormat="false" ht="15" hidden="false" customHeight="false" outlineLevel="0" collapsed="false">
      <c r="A129" s="2" t="str">
        <f aca="false">'Dirty Data'!A128</f>
        <v>D0136</v>
      </c>
      <c r="B129" s="2" t="str">
        <f aca="false">TRIM(PROPER('Dirty Data'!B128))</f>
        <v>Eastfield</v>
      </c>
      <c r="C129" s="2" t="str">
        <f aca="false">_xlfn.IFS(OR('Dirty Data'!C128="M",'Dirty Data'!C128="m",'Dirty Data'!C128="Male",'Dirty Data'!C128="male"),"Male",OR('Dirty Data'!C128="F",'Dirty Data'!C128="f",'Dirty Data'!C128="Female",'Dirty Data'!C128="female",'Dirty Data'!C128="Femle"),"Female",TRUE(),"Unrecognized")</f>
        <v>Male</v>
      </c>
      <c r="D129" s="2" t="n">
        <f aca="false">'Dirty Data'!D128</f>
        <v>8</v>
      </c>
      <c r="E129" s="2" t="str">
        <f aca="false">_xlfn.IFS(D129="","Missing",D129&lt;0,"Invalid",D129&gt;120,"Invalid",TRUE(),"Valid")</f>
        <v>Valid</v>
      </c>
      <c r="F129" s="2" t="str">
        <f aca="false">IF(COUNTIFS('Dirty Data'!$B$2:$B$166,'Dirty Data'!B128,'Dirty Data'!$C$2:$C$166,'Dirty Data'!C128,'Dirty Data'!$D$2:$D$166,'Dirty Data'!D128)&gt;1,"Possible Duplicate","Unique")</f>
        <v>Unique</v>
      </c>
    </row>
    <row r="130" customFormat="false" ht="15" hidden="false" customHeight="false" outlineLevel="0" collapsed="false">
      <c r="A130" s="2" t="str">
        <f aca="false">'Dirty Data'!A129</f>
        <v>D0012</v>
      </c>
      <c r="B130" s="2" t="str">
        <f aca="false">TRIM(PROPER('Dirty Data'!B129))</f>
        <v>Northgate</v>
      </c>
      <c r="C130" s="2" t="str">
        <f aca="false">_xlfn.IFS(OR('Dirty Data'!C129="M",'Dirty Data'!C129="m",'Dirty Data'!C129="Male",'Dirty Data'!C129="male"),"Male",OR('Dirty Data'!C129="F",'Dirty Data'!C129="f",'Dirty Data'!C129="Female",'Dirty Data'!C129="female",'Dirty Data'!C129="Femle"),"Female",TRUE(),"Unrecognized")</f>
        <v>Male</v>
      </c>
      <c r="D130" s="2" t="n">
        <f aca="false">'Dirty Data'!D129</f>
        <v>71</v>
      </c>
      <c r="E130" s="2" t="str">
        <f aca="false">_xlfn.IFS(D130="","Missing",D130&lt;0,"Invalid",D130&gt;120,"Invalid",TRUE(),"Valid")</f>
        <v>Valid</v>
      </c>
      <c r="F130" s="2" t="str">
        <f aca="false">IF(COUNTIFS('Dirty Data'!$B$2:$B$166,'Dirty Data'!B129,'Dirty Data'!$C$2:$C$166,'Dirty Data'!C129,'Dirty Data'!$D$2:$D$166,'Dirty Data'!D129)&gt;1,"Possible Duplicate","Unique")</f>
        <v>Unique</v>
      </c>
    </row>
    <row r="131" customFormat="false" ht="15" hidden="false" customHeight="false" outlineLevel="0" collapsed="false">
      <c r="A131" s="2" t="str">
        <f aca="false">'Dirty Data'!A130</f>
        <v>D0133</v>
      </c>
      <c r="B131" s="2" t="str">
        <f aca="false">TRIM(PROPER('Dirty Data'!B130))</f>
        <v>Eastfield</v>
      </c>
      <c r="C131" s="2" t="str">
        <f aca="false">_xlfn.IFS(OR('Dirty Data'!C130="M",'Dirty Data'!C130="m",'Dirty Data'!C130="Male",'Dirty Data'!C130="male"),"Male",OR('Dirty Data'!C130="F",'Dirty Data'!C130="f",'Dirty Data'!C130="Female",'Dirty Data'!C130="female",'Dirty Data'!C130="Femle"),"Female",TRUE(),"Unrecognized")</f>
        <v>Male</v>
      </c>
      <c r="D131" s="2" t="n">
        <f aca="false">'Dirty Data'!D130</f>
        <v>31</v>
      </c>
      <c r="E131" s="2" t="str">
        <f aca="false">_xlfn.IFS(D131="","Missing",D131&lt;0,"Invalid",D131&gt;120,"Invalid",TRUE(),"Valid")</f>
        <v>Valid</v>
      </c>
      <c r="F131" s="2" t="str">
        <f aca="false">IF(COUNTIFS('Dirty Data'!$B$2:$B$166,'Dirty Data'!B130,'Dirty Data'!$C$2:$C$166,'Dirty Data'!C130,'Dirty Data'!$D$2:$D$166,'Dirty Data'!D130)&gt;1,"Possible Duplicate","Unique")</f>
        <v>Possible Duplicate</v>
      </c>
    </row>
    <row r="132" customFormat="false" ht="15" hidden="false" customHeight="false" outlineLevel="0" collapsed="false">
      <c r="A132" s="2" t="str">
        <f aca="false">'Dirty Data'!A131</f>
        <v>D0143</v>
      </c>
      <c r="B132" s="2" t="str">
        <f aca="false">TRIM(PROPER('Dirty Data'!B131))</f>
        <v>Northgate</v>
      </c>
      <c r="C132" s="2" t="str">
        <f aca="false">_xlfn.IFS(OR('Dirty Data'!C131="M",'Dirty Data'!C131="m",'Dirty Data'!C131="Male",'Dirty Data'!C131="male"),"Male",OR('Dirty Data'!C131="F",'Dirty Data'!C131="f",'Dirty Data'!C131="Female",'Dirty Data'!C131="female",'Dirty Data'!C131="Femle"),"Female",TRUE(),"Unrecognized")</f>
        <v>Female</v>
      </c>
      <c r="D132" s="2" t="n">
        <f aca="false">'Dirty Data'!D131</f>
        <v>57</v>
      </c>
      <c r="E132" s="2" t="str">
        <f aca="false">_xlfn.IFS(D132="","Missing",D132&lt;0,"Invalid",D132&gt;120,"Invalid",TRUE(),"Valid")</f>
        <v>Valid</v>
      </c>
      <c r="F132" s="2" t="str">
        <f aca="false">IF(COUNTIFS('Dirty Data'!$B$2:$B$166,'Dirty Data'!B131,'Dirty Data'!$C$2:$C$166,'Dirty Data'!C131,'Dirty Data'!$D$2:$D$166,'Dirty Data'!D131)&gt;1,"Possible Duplicate","Unique")</f>
        <v>Unique</v>
      </c>
    </row>
    <row r="133" customFormat="false" ht="15" hidden="false" customHeight="false" outlineLevel="0" collapsed="false">
      <c r="A133" s="2" t="str">
        <f aca="false">'Dirty Data'!A132</f>
        <v>D0107</v>
      </c>
      <c r="B133" s="2" t="str">
        <f aca="false">TRIM(PROPER('Dirty Data'!B132))</f>
        <v>Central</v>
      </c>
      <c r="C133" s="2" t="str">
        <f aca="false">_xlfn.IFS(OR('Dirty Data'!C132="M",'Dirty Data'!C132="m",'Dirty Data'!C132="Male",'Dirty Data'!C132="male"),"Male",OR('Dirty Data'!C132="F",'Dirty Data'!C132="f",'Dirty Data'!C132="Female",'Dirty Data'!C132="female",'Dirty Data'!C132="Femle"),"Female",TRUE(),"Unrecognized")</f>
        <v>Female</v>
      </c>
      <c r="D133" s="2" t="n">
        <f aca="false">'Dirty Data'!D132</f>
        <v>20</v>
      </c>
      <c r="E133" s="2" t="str">
        <f aca="false">_xlfn.IFS(D133="","Missing",D133&lt;0,"Invalid",D133&gt;120,"Invalid",TRUE(),"Valid")</f>
        <v>Valid</v>
      </c>
      <c r="F133" s="2" t="str">
        <f aca="false">IF(COUNTIFS('Dirty Data'!$B$2:$B$166,'Dirty Data'!B132,'Dirty Data'!$C$2:$C$166,'Dirty Data'!C132,'Dirty Data'!$D$2:$D$166,'Dirty Data'!D132)&gt;1,"Possible Duplicate","Unique")</f>
        <v>Unique</v>
      </c>
    </row>
    <row r="134" customFormat="false" ht="15" hidden="false" customHeight="false" outlineLevel="0" collapsed="false">
      <c r="A134" s="2" t="str">
        <f aca="false">'Dirty Data'!A133</f>
        <v>D0087</v>
      </c>
      <c r="B134" s="2" t="str">
        <f aca="false">TRIM(PROPER('Dirty Data'!B133))</f>
        <v>Riverside</v>
      </c>
      <c r="C134" s="2" t="str">
        <f aca="false">_xlfn.IFS(OR('Dirty Data'!C133="M",'Dirty Data'!C133="m",'Dirty Data'!C133="Male",'Dirty Data'!C133="male"),"Male",OR('Dirty Data'!C133="F",'Dirty Data'!C133="f",'Dirty Data'!C133="Female",'Dirty Data'!C133="female",'Dirty Data'!C133="Femle"),"Female",TRUE(),"Unrecognized")</f>
        <v>Female</v>
      </c>
      <c r="D134" s="2" t="n">
        <f aca="false">'Dirty Data'!D133</f>
        <v>0</v>
      </c>
      <c r="E134" s="2" t="str">
        <f aca="false">_xlfn.IFS(D134="","Missing",D134&lt;0,"Invalid",D134&gt;120,"Invalid",TRUE(),"Valid")</f>
        <v>Missing</v>
      </c>
      <c r="F134" s="2" t="str">
        <f aca="false">IF(COUNTIFS('Dirty Data'!$B$2:$B$166,'Dirty Data'!B133,'Dirty Data'!$C$2:$C$166,'Dirty Data'!C133,'Dirty Data'!$D$2:$D$166,'Dirty Data'!D133)&gt;1,"Possible Duplicate","Unique")</f>
        <v>Unique</v>
      </c>
    </row>
    <row r="135" customFormat="false" ht="15" hidden="false" customHeight="false" outlineLevel="0" collapsed="false">
      <c r="A135" s="2" t="str">
        <f aca="false">'Dirty Data'!A134</f>
        <v>D0003</v>
      </c>
      <c r="B135" s="2" t="str">
        <f aca="false">TRIM(PROPER('Dirty Data'!B134))</f>
        <v>Central</v>
      </c>
      <c r="C135" s="2" t="str">
        <f aca="false">_xlfn.IFS(OR('Dirty Data'!C134="M",'Dirty Data'!C134="m",'Dirty Data'!C134="Male",'Dirty Data'!C134="male"),"Male",OR('Dirty Data'!C134="F",'Dirty Data'!C134="f",'Dirty Data'!C134="Female",'Dirty Data'!C134="female",'Dirty Data'!C134="Femle"),"Female",TRUE(),"Unrecognized")</f>
        <v>Male</v>
      </c>
      <c r="D135" s="2" t="n">
        <f aca="false">'Dirty Data'!D134</f>
        <v>74</v>
      </c>
      <c r="E135" s="2" t="str">
        <f aca="false">_xlfn.IFS(D135="","Missing",D135&lt;0,"Invalid",D135&gt;120,"Invalid",TRUE(),"Valid")</f>
        <v>Valid</v>
      </c>
      <c r="F135" s="2" t="str">
        <f aca="false">IF(COUNTIFS('Dirty Data'!$B$2:$B$166,'Dirty Data'!B134,'Dirty Data'!$C$2:$C$166,'Dirty Data'!C134,'Dirty Data'!$D$2:$D$166,'Dirty Data'!D134)&gt;1,"Possible Duplicate","Unique")</f>
        <v>Unique</v>
      </c>
    </row>
    <row r="136" customFormat="false" ht="15" hidden="false" customHeight="false" outlineLevel="0" collapsed="false">
      <c r="A136" s="2" t="str">
        <f aca="false">'Dirty Data'!A135</f>
        <v>D0117</v>
      </c>
      <c r="B136" s="2" t="str">
        <f aca="false">TRIM(PROPER('Dirty Data'!B135))</f>
        <v>Northgate</v>
      </c>
      <c r="C136" s="2" t="str">
        <f aca="false">_xlfn.IFS(OR('Dirty Data'!C135="M",'Dirty Data'!C135="m",'Dirty Data'!C135="Male",'Dirty Data'!C135="male"),"Male",OR('Dirty Data'!C135="F",'Dirty Data'!C135="f",'Dirty Data'!C135="Female",'Dirty Data'!C135="female",'Dirty Data'!C135="Femle"),"Female",TRUE(),"Unrecognized")</f>
        <v>Male</v>
      </c>
      <c r="D136" s="2" t="n">
        <f aca="false">'Dirty Data'!D135</f>
        <v>64</v>
      </c>
      <c r="E136" s="2" t="str">
        <f aca="false">_xlfn.IFS(D136="","Missing",D136&lt;0,"Invalid",D136&gt;120,"Invalid",TRUE(),"Valid")</f>
        <v>Valid</v>
      </c>
      <c r="F136" s="2" t="str">
        <f aca="false">IF(COUNTIFS('Dirty Data'!$B$2:$B$166,'Dirty Data'!B135,'Dirty Data'!$C$2:$C$166,'Dirty Data'!C135,'Dirty Data'!$D$2:$D$166,'Dirty Data'!D135)&gt;1,"Possible Duplicate","Unique")</f>
        <v>Unique</v>
      </c>
    </row>
    <row r="137" customFormat="false" ht="15" hidden="false" customHeight="false" outlineLevel="0" collapsed="false">
      <c r="A137" s="2" t="str">
        <f aca="false">'Dirty Data'!A136</f>
        <v>D0032</v>
      </c>
      <c r="B137" s="2" t="str">
        <f aca="false">TRIM(PROPER('Dirty Data'!B136))</f>
        <v>Eastfield</v>
      </c>
      <c r="C137" s="2" t="str">
        <f aca="false">_xlfn.IFS(OR('Dirty Data'!C136="M",'Dirty Data'!C136="m",'Dirty Data'!C136="Male",'Dirty Data'!C136="male"),"Male",OR('Dirty Data'!C136="F",'Dirty Data'!C136="f",'Dirty Data'!C136="Female",'Dirty Data'!C136="female",'Dirty Data'!C136="Femle"),"Female",TRUE(),"Unrecognized")</f>
        <v>Female</v>
      </c>
      <c r="D137" s="2" t="n">
        <f aca="false">'Dirty Data'!D136</f>
        <v>40</v>
      </c>
      <c r="E137" s="2" t="str">
        <f aca="false">_xlfn.IFS(D137="","Missing",D137&lt;0,"Invalid",D137&gt;120,"Invalid",TRUE(),"Valid")</f>
        <v>Valid</v>
      </c>
      <c r="F137" s="2" t="str">
        <f aca="false">IF(COUNTIFS('Dirty Data'!$B$2:$B$166,'Dirty Data'!B136,'Dirty Data'!$C$2:$C$166,'Dirty Data'!C136,'Dirty Data'!$D$2:$D$166,'Dirty Data'!D136)&gt;1,"Possible Duplicate","Unique")</f>
        <v>Possible Duplicate</v>
      </c>
    </row>
    <row r="138" customFormat="false" ht="15" hidden="false" customHeight="false" outlineLevel="0" collapsed="false">
      <c r="A138" s="2" t="str">
        <f aca="false">'Dirty Data'!A137</f>
        <v>D0059</v>
      </c>
      <c r="B138" s="2" t="str">
        <f aca="false">TRIM(PROPER('Dirty Data'!B137))</f>
        <v>Eastfield</v>
      </c>
      <c r="C138" s="2" t="str">
        <f aca="false">_xlfn.IFS(OR('Dirty Data'!C137="M",'Dirty Data'!C137="m",'Dirty Data'!C137="Male",'Dirty Data'!C137="male"),"Male",OR('Dirty Data'!C137="F",'Dirty Data'!C137="f",'Dirty Data'!C137="Female",'Dirty Data'!C137="female",'Dirty Data'!C137="Femle"),"Female",TRUE(),"Unrecognized")</f>
        <v>Female</v>
      </c>
      <c r="D138" s="2" t="n">
        <f aca="false">'Dirty Data'!D137</f>
        <v>83</v>
      </c>
      <c r="E138" s="2" t="str">
        <f aca="false">_xlfn.IFS(D138="","Missing",D138&lt;0,"Invalid",D138&gt;120,"Invalid",TRUE(),"Valid")</f>
        <v>Valid</v>
      </c>
      <c r="F138" s="2" t="str">
        <f aca="false">IF(COUNTIFS('Dirty Data'!$B$2:$B$166,'Dirty Data'!B137,'Dirty Data'!$C$2:$C$166,'Dirty Data'!C137,'Dirty Data'!$D$2:$D$166,'Dirty Data'!D137)&gt;1,"Possible Duplicate","Unique")</f>
        <v>Possible Duplicate</v>
      </c>
    </row>
    <row r="139" customFormat="false" ht="15" hidden="false" customHeight="false" outlineLevel="0" collapsed="false">
      <c r="A139" s="2" t="str">
        <f aca="false">'Dirty Data'!A138</f>
        <v>D0018</v>
      </c>
      <c r="B139" s="2" t="str">
        <f aca="false">TRIM(PROPER('Dirty Data'!B138))</f>
        <v>Riverside</v>
      </c>
      <c r="C139" s="2" t="str">
        <f aca="false">_xlfn.IFS(OR('Dirty Data'!C138="M",'Dirty Data'!C138="m",'Dirty Data'!C138="Male",'Dirty Data'!C138="male"),"Male",OR('Dirty Data'!C138="F",'Dirty Data'!C138="f",'Dirty Data'!C138="Female",'Dirty Data'!C138="female",'Dirty Data'!C138="Femle"),"Female",TRUE(),"Unrecognized")</f>
        <v>Male</v>
      </c>
      <c r="D139" s="2" t="n">
        <f aca="false">'Dirty Data'!D138</f>
        <v>70</v>
      </c>
      <c r="E139" s="2" t="str">
        <f aca="false">_xlfn.IFS(D139="","Missing",D139&lt;0,"Invalid",D139&gt;120,"Invalid",TRUE(),"Valid")</f>
        <v>Valid</v>
      </c>
      <c r="F139" s="2" t="str">
        <f aca="false">IF(COUNTIFS('Dirty Data'!$B$2:$B$166,'Dirty Data'!B138,'Dirty Data'!$C$2:$C$166,'Dirty Data'!C138,'Dirty Data'!$D$2:$D$166,'Dirty Data'!D138)&gt;1,"Possible Duplicate","Unique")</f>
        <v>Unique</v>
      </c>
    </row>
    <row r="140" customFormat="false" ht="15" hidden="false" customHeight="false" outlineLevel="0" collapsed="false">
      <c r="A140" s="2" t="str">
        <f aca="false">'Dirty Data'!A139</f>
        <v>D0057</v>
      </c>
      <c r="B140" s="2" t="str">
        <f aca="false">TRIM(PROPER('Dirty Data'!B139))</f>
        <v>Eastfield</v>
      </c>
      <c r="C140" s="2" t="str">
        <f aca="false">_xlfn.IFS(OR('Dirty Data'!C139="M",'Dirty Data'!C139="m",'Dirty Data'!C139="Male",'Dirty Data'!C139="male"),"Male",OR('Dirty Data'!C139="F",'Dirty Data'!C139="f",'Dirty Data'!C139="Female",'Dirty Data'!C139="female",'Dirty Data'!C139="Femle"),"Female",TRUE(),"Unrecognized")</f>
        <v>Male</v>
      </c>
      <c r="D140" s="2" t="n">
        <f aca="false">'Dirty Data'!D139</f>
        <v>0</v>
      </c>
      <c r="E140" s="2" t="str">
        <f aca="false">_xlfn.IFS(D140="","Missing",D140&lt;0,"Invalid",D140&gt;120,"Invalid",TRUE(),"Valid")</f>
        <v>Missing</v>
      </c>
      <c r="F140" s="2" t="str">
        <f aca="false">IF(COUNTIFS('Dirty Data'!$B$2:$B$166,'Dirty Data'!B139,'Dirty Data'!$C$2:$C$166,'Dirty Data'!C139,'Dirty Data'!$D$2:$D$166,'Dirty Data'!D139)&gt;1,"Possible Duplicate","Unique")</f>
        <v>Unique</v>
      </c>
    </row>
    <row r="141" customFormat="false" ht="15" hidden="false" customHeight="false" outlineLevel="0" collapsed="false">
      <c r="A141" s="2" t="str">
        <f aca="false">'Dirty Data'!A140</f>
        <v>D0027</v>
      </c>
      <c r="B141" s="2" t="str">
        <f aca="false">TRIM(PROPER('Dirty Data'!B140))</f>
        <v>Highland</v>
      </c>
      <c r="C141" s="2" t="str">
        <f aca="false">_xlfn.IFS(OR('Dirty Data'!C140="M",'Dirty Data'!C140="m",'Dirty Data'!C140="Male",'Dirty Data'!C140="male"),"Male",OR('Dirty Data'!C140="F",'Dirty Data'!C140="f",'Dirty Data'!C140="Female",'Dirty Data'!C140="female",'Dirty Data'!C140="Femle"),"Female",TRUE(),"Unrecognized")</f>
        <v>Male</v>
      </c>
      <c r="D141" s="2" t="n">
        <f aca="false">'Dirty Data'!D140</f>
        <v>77</v>
      </c>
      <c r="E141" s="2" t="str">
        <f aca="false">_xlfn.IFS(D141="","Missing",D141&lt;0,"Invalid",D141&gt;120,"Invalid",TRUE(),"Valid")</f>
        <v>Valid</v>
      </c>
      <c r="F141" s="2" t="str">
        <f aca="false">IF(COUNTIFS('Dirty Data'!$B$2:$B$166,'Dirty Data'!B140,'Dirty Data'!$C$2:$C$166,'Dirty Data'!C140,'Dirty Data'!$D$2:$D$166,'Dirty Data'!D140)&gt;1,"Possible Duplicate","Unique")</f>
        <v>Possible Duplicate</v>
      </c>
    </row>
    <row r="142" customFormat="false" ht="15" hidden="false" customHeight="false" outlineLevel="0" collapsed="false">
      <c r="A142" s="2" t="str">
        <f aca="false">'Dirty Data'!A141</f>
        <v>D0099</v>
      </c>
      <c r="B142" s="2" t="str">
        <f aca="false">TRIM(PROPER('Dirty Data'!B141))</f>
        <v>Eastfield</v>
      </c>
      <c r="C142" s="2" t="str">
        <f aca="false">_xlfn.IFS(OR('Dirty Data'!C141="M",'Dirty Data'!C141="m",'Dirty Data'!C141="Male",'Dirty Data'!C141="male"),"Male",OR('Dirty Data'!C141="F",'Dirty Data'!C141="f",'Dirty Data'!C141="Female",'Dirty Data'!C141="female",'Dirty Data'!C141="Femle"),"Female",TRUE(),"Unrecognized")</f>
        <v>Female</v>
      </c>
      <c r="D142" s="2" t="n">
        <f aca="false">'Dirty Data'!D141</f>
        <v>0</v>
      </c>
      <c r="E142" s="2" t="str">
        <f aca="false">_xlfn.IFS(D142="","Missing",D142&lt;0,"Invalid",D142&gt;120,"Invalid",TRUE(),"Valid")</f>
        <v>Valid</v>
      </c>
      <c r="F142" s="2" t="str">
        <f aca="false">IF(COUNTIFS('Dirty Data'!$B$2:$B$166,'Dirty Data'!B141,'Dirty Data'!$C$2:$C$166,'Dirty Data'!C141,'Dirty Data'!$D$2:$D$166,'Dirty Data'!D141)&gt;1,"Possible Duplicate","Unique")</f>
        <v>Possible Duplicate</v>
      </c>
    </row>
    <row r="143" customFormat="false" ht="15" hidden="false" customHeight="false" outlineLevel="0" collapsed="false">
      <c r="A143" s="2" t="str">
        <f aca="false">'Dirty Data'!A142</f>
        <v>D0149</v>
      </c>
      <c r="B143" s="2" t="str">
        <f aca="false">TRIM(PROPER('Dirty Data'!B142))</f>
        <v>Northgate</v>
      </c>
      <c r="C143" s="2" t="str">
        <f aca="false">_xlfn.IFS(OR('Dirty Data'!C142="M",'Dirty Data'!C142="m",'Dirty Data'!C142="Male",'Dirty Data'!C142="male"),"Male",OR('Dirty Data'!C142="F",'Dirty Data'!C142="f",'Dirty Data'!C142="Female",'Dirty Data'!C142="female",'Dirty Data'!C142="Femle"),"Female",TRUE(),"Unrecognized")</f>
        <v>Female</v>
      </c>
      <c r="D143" s="2" t="n">
        <f aca="false">'Dirty Data'!D142</f>
        <v>82</v>
      </c>
      <c r="E143" s="2" t="str">
        <f aca="false">_xlfn.IFS(D143="","Missing",D143&lt;0,"Invalid",D143&gt;120,"Invalid",TRUE(),"Valid")</f>
        <v>Valid</v>
      </c>
      <c r="F143" s="2" t="str">
        <f aca="false">IF(COUNTIFS('Dirty Data'!$B$2:$B$166,'Dirty Data'!B142,'Dirty Data'!$C$2:$C$166,'Dirty Data'!C142,'Dirty Data'!$D$2:$D$166,'Dirty Data'!D142)&gt;1,"Possible Duplicate","Unique")</f>
        <v>Unique</v>
      </c>
    </row>
    <row r="144" customFormat="false" ht="15" hidden="false" customHeight="false" outlineLevel="0" collapsed="false">
      <c r="A144" s="2" t="str">
        <f aca="false">'Dirty Data'!A143</f>
        <v>D0005</v>
      </c>
      <c r="B144" s="2" t="str">
        <f aca="false">TRIM(PROPER('Dirty Data'!B143))</f>
        <v>Central</v>
      </c>
      <c r="C144" s="2" t="str">
        <f aca="false">_xlfn.IFS(OR('Dirty Data'!C143="M",'Dirty Data'!C143="m",'Dirty Data'!C143="Male",'Dirty Data'!C143="male"),"Male",OR('Dirty Data'!C143="F",'Dirty Data'!C143="f",'Dirty Data'!C143="Female",'Dirty Data'!C143="female",'Dirty Data'!C143="Femle"),"Female",TRUE(),"Unrecognized")</f>
        <v>Male</v>
      </c>
      <c r="D144" s="2" t="n">
        <f aca="false">'Dirty Data'!D143</f>
        <v>55</v>
      </c>
      <c r="E144" s="2" t="str">
        <f aca="false">_xlfn.IFS(D144="","Missing",D144&lt;0,"Invalid",D144&gt;120,"Invalid",TRUE(),"Valid")</f>
        <v>Valid</v>
      </c>
      <c r="F144" s="2" t="str">
        <f aca="false">IF(COUNTIFS('Dirty Data'!$B$2:$B$166,'Dirty Data'!B143,'Dirty Data'!$C$2:$C$166,'Dirty Data'!C143,'Dirty Data'!$D$2:$D$166,'Dirty Data'!D143)&gt;1,"Possible Duplicate","Unique")</f>
        <v>Possible Duplicate</v>
      </c>
    </row>
    <row r="145" customFormat="false" ht="15" hidden="false" customHeight="false" outlineLevel="0" collapsed="false">
      <c r="A145" s="2" t="str">
        <f aca="false">'Dirty Data'!A144</f>
        <v>D0069</v>
      </c>
      <c r="B145" s="2" t="str">
        <f aca="false">TRIM(PROPER('Dirty Data'!B144))</f>
        <v>Central</v>
      </c>
      <c r="C145" s="2" t="str">
        <f aca="false">_xlfn.IFS(OR('Dirty Data'!C144="M",'Dirty Data'!C144="m",'Dirty Data'!C144="Male",'Dirty Data'!C144="male"),"Male",OR('Dirty Data'!C144="F",'Dirty Data'!C144="f",'Dirty Data'!C144="Female",'Dirty Data'!C144="female",'Dirty Data'!C144="Femle"),"Female",TRUE(),"Unrecognized")</f>
        <v>Male</v>
      </c>
      <c r="D145" s="2" t="n">
        <f aca="false">'Dirty Data'!D144</f>
        <v>78</v>
      </c>
      <c r="E145" s="2" t="str">
        <f aca="false">_xlfn.IFS(D145="","Missing",D145&lt;0,"Invalid",D145&gt;120,"Invalid",TRUE(),"Valid")</f>
        <v>Valid</v>
      </c>
      <c r="F145" s="2" t="str">
        <f aca="false">IF(COUNTIFS('Dirty Data'!$B$2:$B$166,'Dirty Data'!B144,'Dirty Data'!$C$2:$C$166,'Dirty Data'!C144,'Dirty Data'!$D$2:$D$166,'Dirty Data'!D144)&gt;1,"Possible Duplicate","Unique")</f>
        <v>Unique</v>
      </c>
    </row>
    <row r="146" customFormat="false" ht="15" hidden="false" customHeight="false" outlineLevel="0" collapsed="false">
      <c r="A146" s="2" t="str">
        <f aca="false">'Dirty Data'!A145</f>
        <v>D0019</v>
      </c>
      <c r="B146" s="2" t="str">
        <f aca="false">TRIM(PROPER('Dirty Data'!B145))</f>
        <v>Central</v>
      </c>
      <c r="C146" s="2" t="str">
        <f aca="false">_xlfn.IFS(OR('Dirty Data'!C145="M",'Dirty Data'!C145="m",'Dirty Data'!C145="Male",'Dirty Data'!C145="male"),"Male",OR('Dirty Data'!C145="F",'Dirty Data'!C145="f",'Dirty Data'!C145="Female",'Dirty Data'!C145="female",'Dirty Data'!C145="Femle"),"Female",TRUE(),"Unrecognized")</f>
        <v>Female</v>
      </c>
      <c r="D146" s="2" t="n">
        <f aca="false">'Dirty Data'!D145</f>
        <v>7</v>
      </c>
      <c r="E146" s="2" t="str">
        <f aca="false">_xlfn.IFS(D146="","Missing",D146&lt;0,"Invalid",D146&gt;120,"Invalid",TRUE(),"Valid")</f>
        <v>Valid</v>
      </c>
      <c r="F146" s="2" t="str">
        <f aca="false">IF(COUNTIFS('Dirty Data'!$B$2:$B$166,'Dirty Data'!B145,'Dirty Data'!$C$2:$C$166,'Dirty Data'!C145,'Dirty Data'!$D$2:$D$166,'Dirty Data'!D145)&gt;1,"Possible Duplicate","Unique")</f>
        <v>Unique</v>
      </c>
    </row>
    <row r="147" customFormat="false" ht="15" hidden="false" customHeight="false" outlineLevel="0" collapsed="false">
      <c r="A147" s="2" t="str">
        <f aca="false">'Dirty Data'!A146</f>
        <v>D0085</v>
      </c>
      <c r="B147" s="2" t="str">
        <f aca="false">TRIM(PROPER('Dirty Data'!B146))</f>
        <v>Northgate</v>
      </c>
      <c r="C147" s="2" t="str">
        <f aca="false">_xlfn.IFS(OR('Dirty Data'!C146="M",'Dirty Data'!C146="m",'Dirty Data'!C146="Male",'Dirty Data'!C146="male"),"Male",OR('Dirty Data'!C146="F",'Dirty Data'!C146="f",'Dirty Data'!C146="Female",'Dirty Data'!C146="female",'Dirty Data'!C146="Femle"),"Female",TRUE(),"Unrecognized")</f>
        <v>Male</v>
      </c>
      <c r="D147" s="2" t="n">
        <f aca="false">'Dirty Data'!D146</f>
        <v>28</v>
      </c>
      <c r="E147" s="2" t="str">
        <f aca="false">_xlfn.IFS(D147="","Missing",D147&lt;0,"Invalid",D147&gt;120,"Invalid",TRUE(),"Valid")</f>
        <v>Valid</v>
      </c>
      <c r="F147" s="2" t="str">
        <f aca="false">IF(COUNTIFS('Dirty Data'!$B$2:$B$166,'Dirty Data'!B146,'Dirty Data'!$C$2:$C$166,'Dirty Data'!C146,'Dirty Data'!$D$2:$D$166,'Dirty Data'!D146)&gt;1,"Possible Duplicate","Unique")</f>
        <v>Possible Duplicate</v>
      </c>
    </row>
    <row r="148" customFormat="false" ht="15" hidden="false" customHeight="false" outlineLevel="0" collapsed="false">
      <c r="A148" s="2" t="str">
        <f aca="false">'Dirty Data'!A147</f>
        <v>D0132</v>
      </c>
      <c r="B148" s="2" t="str">
        <f aca="false">TRIM(PROPER('Dirty Data'!B147))</f>
        <v>Highland</v>
      </c>
      <c r="C148" s="2" t="str">
        <f aca="false">_xlfn.IFS(OR('Dirty Data'!C147="M",'Dirty Data'!C147="m",'Dirty Data'!C147="Male",'Dirty Data'!C147="male"),"Male",OR('Dirty Data'!C147="F",'Dirty Data'!C147="f",'Dirty Data'!C147="Female",'Dirty Data'!C147="female",'Dirty Data'!C147="Femle"),"Female",TRUE(),"Unrecognized")</f>
        <v>Female</v>
      </c>
      <c r="D148" s="2" t="n">
        <f aca="false">'Dirty Data'!D147</f>
        <v>0</v>
      </c>
      <c r="E148" s="2" t="str">
        <f aca="false">_xlfn.IFS(D148="","Missing",D148&lt;0,"Invalid",D148&gt;120,"Invalid",TRUE(),"Valid")</f>
        <v>Missing</v>
      </c>
      <c r="F148" s="2" t="str">
        <f aca="false">IF(COUNTIFS('Dirty Data'!$B$2:$B$166,'Dirty Data'!B147,'Dirty Data'!$C$2:$C$166,'Dirty Data'!C147,'Dirty Data'!$D$2:$D$166,'Dirty Data'!D147)&gt;1,"Possible Duplicate","Unique")</f>
        <v>Unique</v>
      </c>
    </row>
    <row r="149" customFormat="false" ht="15" hidden="false" customHeight="false" outlineLevel="0" collapsed="false">
      <c r="A149" s="2" t="str">
        <f aca="false">'Dirty Data'!A148</f>
        <v>D0015</v>
      </c>
      <c r="B149" s="2" t="str">
        <f aca="false">TRIM(PROPER('Dirty Data'!B148))</f>
        <v>Eastfield</v>
      </c>
      <c r="C149" s="2" t="str">
        <f aca="false">_xlfn.IFS(OR('Dirty Data'!C148="M",'Dirty Data'!C148="m",'Dirty Data'!C148="Male",'Dirty Data'!C148="male"),"Male",OR('Dirty Data'!C148="F",'Dirty Data'!C148="f",'Dirty Data'!C148="Female",'Dirty Data'!C148="female",'Dirty Data'!C148="Femle"),"Female",TRUE(),"Unrecognized")</f>
        <v>Male</v>
      </c>
      <c r="D149" s="2" t="n">
        <f aca="false">'Dirty Data'!D148</f>
        <v>71</v>
      </c>
      <c r="E149" s="2" t="str">
        <f aca="false">_xlfn.IFS(D149="","Missing",D149&lt;0,"Invalid",D149&gt;120,"Invalid",TRUE(),"Valid")</f>
        <v>Valid</v>
      </c>
      <c r="F149" s="2" t="str">
        <f aca="false">IF(COUNTIFS('Dirty Data'!$B$2:$B$166,'Dirty Data'!B148,'Dirty Data'!$C$2:$C$166,'Dirty Data'!C148,'Dirty Data'!$D$2:$D$166,'Dirty Data'!D148)&gt;1,"Possible Duplicate","Unique")</f>
        <v>Possible Duplicate</v>
      </c>
    </row>
    <row r="150" customFormat="false" ht="15" hidden="false" customHeight="false" outlineLevel="0" collapsed="false">
      <c r="A150" s="2" t="str">
        <f aca="false">'Dirty Data'!A149</f>
        <v>D0072</v>
      </c>
      <c r="B150" s="2" t="str">
        <f aca="false">TRIM(PROPER('Dirty Data'!B149))</f>
        <v>Riverside</v>
      </c>
      <c r="C150" s="2" t="str">
        <f aca="false">_xlfn.IFS(OR('Dirty Data'!C149="M",'Dirty Data'!C149="m",'Dirty Data'!C149="Male",'Dirty Data'!C149="male"),"Male",OR('Dirty Data'!C149="F",'Dirty Data'!C149="f",'Dirty Data'!C149="Female",'Dirty Data'!C149="female",'Dirty Data'!C149="Femle"),"Female",TRUE(),"Unrecognized")</f>
        <v>Male</v>
      </c>
      <c r="D150" s="2" t="n">
        <f aca="false">'Dirty Data'!D149</f>
        <v>77</v>
      </c>
      <c r="E150" s="2" t="str">
        <f aca="false">_xlfn.IFS(D150="","Missing",D150&lt;0,"Invalid",D150&gt;120,"Invalid",TRUE(),"Valid")</f>
        <v>Valid</v>
      </c>
      <c r="F150" s="2" t="str">
        <f aca="false">IF(COUNTIFS('Dirty Data'!$B$2:$B$166,'Dirty Data'!B149,'Dirty Data'!$C$2:$C$166,'Dirty Data'!C149,'Dirty Data'!$D$2:$D$166,'Dirty Data'!D149)&gt;1,"Possible Duplicate","Unique")</f>
        <v>Unique</v>
      </c>
    </row>
    <row r="151" customFormat="false" ht="15" hidden="false" customHeight="false" outlineLevel="0" collapsed="false">
      <c r="A151" s="2" t="str">
        <f aca="false">'Dirty Data'!A150</f>
        <v>D0023</v>
      </c>
      <c r="B151" s="2" t="str">
        <f aca="false">TRIM(PROPER('Dirty Data'!B150))</f>
        <v>Riverside</v>
      </c>
      <c r="C151" s="2" t="str">
        <f aca="false">_xlfn.IFS(OR('Dirty Data'!C150="M",'Dirty Data'!C150="m",'Dirty Data'!C150="Male",'Dirty Data'!C150="male"),"Male",OR('Dirty Data'!C150="F",'Dirty Data'!C150="f",'Dirty Data'!C150="Female",'Dirty Data'!C150="female",'Dirty Data'!C150="Femle"),"Female",TRUE(),"Unrecognized")</f>
        <v>Male</v>
      </c>
      <c r="D151" s="2" t="n">
        <f aca="false">'Dirty Data'!D150</f>
        <v>31</v>
      </c>
      <c r="E151" s="2" t="str">
        <f aca="false">_xlfn.IFS(D151="","Missing",D151&lt;0,"Invalid",D151&gt;120,"Invalid",TRUE(),"Valid")</f>
        <v>Valid</v>
      </c>
      <c r="F151" s="2" t="str">
        <f aca="false">IF(COUNTIFS('Dirty Data'!$B$2:$B$166,'Dirty Data'!B150,'Dirty Data'!$C$2:$C$166,'Dirty Data'!C150,'Dirty Data'!$D$2:$D$166,'Dirty Data'!D150)&gt;1,"Possible Duplicate","Unique")</f>
        <v>Unique</v>
      </c>
    </row>
    <row r="152" customFormat="false" ht="15" hidden="false" customHeight="false" outlineLevel="0" collapsed="false">
      <c r="A152" s="2" t="str">
        <f aca="false">'Dirty Data'!A151</f>
        <v>D0084</v>
      </c>
      <c r="B152" s="2" t="str">
        <f aca="false">TRIM(PROPER('Dirty Data'!B151))</f>
        <v>Riverside</v>
      </c>
      <c r="C152" s="2" t="str">
        <f aca="false">_xlfn.IFS(OR('Dirty Data'!C151="M",'Dirty Data'!C151="m",'Dirty Data'!C151="Male",'Dirty Data'!C151="male"),"Male",OR('Dirty Data'!C151="F",'Dirty Data'!C151="f",'Dirty Data'!C151="Female",'Dirty Data'!C151="female",'Dirty Data'!C151="Femle"),"Female",TRUE(),"Unrecognized")</f>
        <v>Female</v>
      </c>
      <c r="D152" s="2" t="n">
        <f aca="false">'Dirty Data'!D151</f>
        <v>46</v>
      </c>
      <c r="E152" s="2" t="str">
        <f aca="false">_xlfn.IFS(D152="","Missing",D152&lt;0,"Invalid",D152&gt;120,"Invalid",TRUE(),"Valid")</f>
        <v>Valid</v>
      </c>
      <c r="F152" s="2" t="str">
        <f aca="false">IF(COUNTIFS('Dirty Data'!$B$2:$B$166,'Dirty Data'!B151,'Dirty Data'!$C$2:$C$166,'Dirty Data'!C151,'Dirty Data'!$D$2:$D$166,'Dirty Data'!D151)&gt;1,"Possible Duplicate","Unique")</f>
        <v>Unique</v>
      </c>
    </row>
    <row r="153" customFormat="false" ht="15" hidden="false" customHeight="false" outlineLevel="0" collapsed="false">
      <c r="A153" s="2" t="str">
        <f aca="false">'Dirty Data'!A152</f>
        <v>D0127</v>
      </c>
      <c r="B153" s="2" t="str">
        <f aca="false">TRIM(PROPER('Dirty Data'!B152))</f>
        <v>Eastfield</v>
      </c>
      <c r="C153" s="2" t="str">
        <f aca="false">_xlfn.IFS(OR('Dirty Data'!C152="M",'Dirty Data'!C152="m",'Dirty Data'!C152="Male",'Dirty Data'!C152="male"),"Male",OR('Dirty Data'!C152="F",'Dirty Data'!C152="f",'Dirty Data'!C152="Female",'Dirty Data'!C152="female",'Dirty Data'!C152="Femle"),"Female",TRUE(),"Unrecognized")</f>
        <v>Male</v>
      </c>
      <c r="D153" s="2" t="n">
        <f aca="false">'Dirty Data'!D152</f>
        <v>19</v>
      </c>
      <c r="E153" s="2" t="str">
        <f aca="false">_xlfn.IFS(D153="","Missing",D153&lt;0,"Invalid",D153&gt;120,"Invalid",TRUE(),"Valid")</f>
        <v>Valid</v>
      </c>
      <c r="F153" s="2" t="str">
        <f aca="false">IF(COUNTIFS('Dirty Data'!$B$2:$B$166,'Dirty Data'!B152,'Dirty Data'!$C$2:$C$166,'Dirty Data'!C152,'Dirty Data'!$D$2:$D$166,'Dirty Data'!D152)&gt;1,"Possible Duplicate","Unique")</f>
        <v>Unique</v>
      </c>
    </row>
    <row r="154" customFormat="false" ht="15" hidden="false" customHeight="false" outlineLevel="0" collapsed="false">
      <c r="A154" s="2" t="str">
        <f aca="false">'Dirty Data'!A153</f>
        <v>D0147</v>
      </c>
      <c r="B154" s="2" t="str">
        <f aca="false">TRIM(PROPER('Dirty Data'!B153))</f>
        <v>Highland</v>
      </c>
      <c r="C154" s="2" t="str">
        <f aca="false">_xlfn.IFS(OR('Dirty Data'!C153="M",'Dirty Data'!C153="m",'Dirty Data'!C153="Male",'Dirty Data'!C153="male"),"Male",OR('Dirty Data'!C153="F",'Dirty Data'!C153="f",'Dirty Data'!C153="Female",'Dirty Data'!C153="female",'Dirty Data'!C153="Femle"),"Female",TRUE(),"Unrecognized")</f>
        <v>Male</v>
      </c>
      <c r="D154" s="2" t="n">
        <f aca="false">'Dirty Data'!D153</f>
        <v>27</v>
      </c>
      <c r="E154" s="2" t="str">
        <f aca="false">_xlfn.IFS(D154="","Missing",D154&lt;0,"Invalid",D154&gt;120,"Invalid",TRUE(),"Valid")</f>
        <v>Valid</v>
      </c>
      <c r="F154" s="2" t="str">
        <f aca="false">IF(COUNTIFS('Dirty Data'!$B$2:$B$166,'Dirty Data'!B153,'Dirty Data'!$C$2:$C$166,'Dirty Data'!C153,'Dirty Data'!$D$2:$D$166,'Dirty Data'!D153)&gt;1,"Possible Duplicate","Unique")</f>
        <v>Possible Duplicate</v>
      </c>
    </row>
    <row r="155" customFormat="false" ht="15" hidden="false" customHeight="false" outlineLevel="0" collapsed="false">
      <c r="A155" s="2" t="str">
        <f aca="false">'Dirty Data'!A154</f>
        <v>D0132</v>
      </c>
      <c r="B155" s="2" t="str">
        <f aca="false">TRIM(PROPER('Dirty Data'!B154))</f>
        <v>Highland</v>
      </c>
      <c r="C155" s="2" t="str">
        <f aca="false">_xlfn.IFS(OR('Dirty Data'!C154="M",'Dirty Data'!C154="m",'Dirty Data'!C154="Male",'Dirty Data'!C154="male"),"Male",OR('Dirty Data'!C154="F",'Dirty Data'!C154="f",'Dirty Data'!C154="Female",'Dirty Data'!C154="female",'Dirty Data'!C154="Femle"),"Female",TRUE(),"Unrecognized")</f>
        <v>Female</v>
      </c>
      <c r="D155" s="2" t="n">
        <f aca="false">'Dirty Data'!D154</f>
        <v>0</v>
      </c>
      <c r="E155" s="2" t="str">
        <f aca="false">_xlfn.IFS(D155="","Missing",D155&lt;0,"Invalid",D155&gt;120,"Invalid",TRUE(),"Valid")</f>
        <v>Missing</v>
      </c>
      <c r="F155" s="2" t="str">
        <f aca="false">IF(COUNTIFS('Dirty Data'!$B$2:$B$166,'Dirty Data'!B154,'Dirty Data'!$C$2:$C$166,'Dirty Data'!C154,'Dirty Data'!$D$2:$D$166,'Dirty Data'!D154)&gt;1,"Possible Duplicate","Unique")</f>
        <v>Unique</v>
      </c>
    </row>
    <row r="156" customFormat="false" ht="15" hidden="false" customHeight="false" outlineLevel="0" collapsed="false">
      <c r="A156" s="2" t="str">
        <f aca="false">'Dirty Data'!A155</f>
        <v>D0138</v>
      </c>
      <c r="B156" s="2" t="str">
        <f aca="false">TRIM(PROPER('Dirty Data'!B155))</f>
        <v>Eastfield</v>
      </c>
      <c r="C156" s="2" t="str">
        <f aca="false">_xlfn.IFS(OR('Dirty Data'!C155="M",'Dirty Data'!C155="m",'Dirty Data'!C155="Male",'Dirty Data'!C155="male"),"Male",OR('Dirty Data'!C155="F",'Dirty Data'!C155="f",'Dirty Data'!C155="Female",'Dirty Data'!C155="female",'Dirty Data'!C155="Femle"),"Female",TRUE(),"Unrecognized")</f>
        <v>Female</v>
      </c>
      <c r="D156" s="2" t="n">
        <f aca="false">'Dirty Data'!D155</f>
        <v>65</v>
      </c>
      <c r="E156" s="2" t="str">
        <f aca="false">_xlfn.IFS(D156="","Missing",D156&lt;0,"Invalid",D156&gt;120,"Invalid",TRUE(),"Valid")</f>
        <v>Valid</v>
      </c>
      <c r="F156" s="2" t="str">
        <f aca="false">IF(COUNTIFS('Dirty Data'!$B$2:$B$166,'Dirty Data'!B155,'Dirty Data'!$C$2:$C$166,'Dirty Data'!C155,'Dirty Data'!$D$2:$D$166,'Dirty Data'!D155)&gt;1,"Possible Duplicate","Unique")</f>
        <v>Unique</v>
      </c>
    </row>
    <row r="157" customFormat="false" ht="15" hidden="false" customHeight="false" outlineLevel="0" collapsed="false">
      <c r="A157" s="2" t="str">
        <f aca="false">'Dirty Data'!A156</f>
        <v>D0039</v>
      </c>
      <c r="B157" s="2" t="str">
        <f aca="false">TRIM(PROPER('Dirty Data'!B156))</f>
        <v>Highland</v>
      </c>
      <c r="C157" s="2" t="str">
        <f aca="false">_xlfn.IFS(OR('Dirty Data'!C156="M",'Dirty Data'!C156="m",'Dirty Data'!C156="Male",'Dirty Data'!C156="male"),"Male",OR('Dirty Data'!C156="F",'Dirty Data'!C156="f",'Dirty Data'!C156="Female",'Dirty Data'!C156="female",'Dirty Data'!C156="Femle"),"Female",TRUE(),"Unrecognized")</f>
        <v>Male</v>
      </c>
      <c r="D157" s="2" t="n">
        <f aca="false">'Dirty Data'!D156</f>
        <v>91</v>
      </c>
      <c r="E157" s="2" t="str">
        <f aca="false">_xlfn.IFS(D157="","Missing",D157&lt;0,"Invalid",D157&gt;120,"Invalid",TRUE(),"Valid")</f>
        <v>Valid</v>
      </c>
      <c r="F157" s="2" t="str">
        <f aca="false">IF(COUNTIFS('Dirty Data'!$B$2:$B$166,'Dirty Data'!B156,'Dirty Data'!$C$2:$C$166,'Dirty Data'!C156,'Dirty Data'!$D$2:$D$166,'Dirty Data'!D156)&gt;1,"Possible Duplicate","Unique")</f>
        <v>Unique</v>
      </c>
    </row>
    <row r="158" customFormat="false" ht="15" hidden="false" customHeight="false" outlineLevel="0" collapsed="false">
      <c r="A158" s="2" t="str">
        <f aca="false">'Dirty Data'!A157</f>
        <v>D0104</v>
      </c>
      <c r="B158" s="2" t="str">
        <f aca="false">TRIM(PROPER('Dirty Data'!B157))</f>
        <v>Highland</v>
      </c>
      <c r="C158" s="2" t="str">
        <f aca="false">_xlfn.IFS(OR('Dirty Data'!C157="M",'Dirty Data'!C157="m",'Dirty Data'!C157="Male",'Dirty Data'!C157="male"),"Male",OR('Dirty Data'!C157="F",'Dirty Data'!C157="f",'Dirty Data'!C157="Female",'Dirty Data'!C157="female",'Dirty Data'!C157="Femle"),"Female",TRUE(),"Unrecognized")</f>
        <v>Female</v>
      </c>
      <c r="D158" s="2" t="n">
        <f aca="false">'Dirty Data'!D157</f>
        <v>0</v>
      </c>
      <c r="E158" s="2" t="str">
        <f aca="false">_xlfn.IFS(D158="","Missing",D158&lt;0,"Invalid",D158&gt;120,"Invalid",TRUE(),"Valid")</f>
        <v>Missing</v>
      </c>
      <c r="F158" s="2" t="str">
        <f aca="false">IF(COUNTIFS('Dirty Data'!$B$2:$B$166,'Dirty Data'!B157,'Dirty Data'!$C$2:$C$166,'Dirty Data'!C157,'Dirty Data'!$D$2:$D$166,'Dirty Data'!D157)&gt;1,"Possible Duplicate","Unique")</f>
        <v>Unique</v>
      </c>
    </row>
    <row r="159" customFormat="false" ht="15" hidden="false" customHeight="false" outlineLevel="0" collapsed="false">
      <c r="A159" s="2" t="str">
        <f aca="false">'Dirty Data'!A158</f>
        <v>D0067</v>
      </c>
      <c r="B159" s="2" t="str">
        <f aca="false">TRIM(PROPER('Dirty Data'!B158))</f>
        <v>Central</v>
      </c>
      <c r="C159" s="2" t="str">
        <f aca="false">_xlfn.IFS(OR('Dirty Data'!C158="M",'Dirty Data'!C158="m",'Dirty Data'!C158="Male",'Dirty Data'!C158="male"),"Male",OR('Dirty Data'!C158="F",'Dirty Data'!C158="f",'Dirty Data'!C158="Female",'Dirty Data'!C158="female",'Dirty Data'!C158="Femle"),"Female",TRUE(),"Unrecognized")</f>
        <v>Male</v>
      </c>
      <c r="D159" s="2" t="n">
        <f aca="false">'Dirty Data'!D158</f>
        <v>0</v>
      </c>
      <c r="E159" s="2" t="str">
        <f aca="false">_xlfn.IFS(D159="","Missing",D159&lt;0,"Invalid",D159&gt;120,"Invalid",TRUE(),"Valid")</f>
        <v>Valid</v>
      </c>
      <c r="F159" s="2" t="str">
        <f aca="false">IF(COUNTIFS('Dirty Data'!$B$2:$B$166,'Dirty Data'!B158,'Dirty Data'!$C$2:$C$166,'Dirty Data'!C158,'Dirty Data'!$D$2:$D$166,'Dirty Data'!D158)&gt;1,"Possible Duplicate","Unique")</f>
        <v>Unique</v>
      </c>
    </row>
    <row r="160" customFormat="false" ht="15" hidden="false" customHeight="false" outlineLevel="0" collapsed="false">
      <c r="A160" s="2" t="str">
        <f aca="false">'Dirty Data'!A159</f>
        <v>D0109</v>
      </c>
      <c r="B160" s="2" t="str">
        <f aca="false">TRIM(PROPER('Dirty Data'!B159))</f>
        <v>Northgate</v>
      </c>
      <c r="C160" s="2" t="str">
        <f aca="false">_xlfn.IFS(OR('Dirty Data'!C159="M",'Dirty Data'!C159="m",'Dirty Data'!C159="Male",'Dirty Data'!C159="male"),"Male",OR('Dirty Data'!C159="F",'Dirty Data'!C159="f",'Dirty Data'!C159="Female",'Dirty Data'!C159="female",'Dirty Data'!C159="Femle"),"Female",TRUE(),"Unrecognized")</f>
        <v>Female</v>
      </c>
      <c r="D160" s="2" t="n">
        <f aca="false">'Dirty Data'!D159</f>
        <v>59</v>
      </c>
      <c r="E160" s="2" t="str">
        <f aca="false">_xlfn.IFS(D160="","Missing",D160&lt;0,"Invalid",D160&gt;120,"Invalid",TRUE(),"Valid")</f>
        <v>Valid</v>
      </c>
      <c r="F160" s="2" t="str">
        <f aca="false">IF(COUNTIFS('Dirty Data'!$B$2:$B$166,'Dirty Data'!B159,'Dirty Data'!$C$2:$C$166,'Dirty Data'!C159,'Dirty Data'!$D$2:$D$166,'Dirty Data'!D159)&gt;1,"Possible Duplicate","Unique")</f>
        <v>Unique</v>
      </c>
    </row>
    <row r="161" customFormat="false" ht="15" hidden="false" customHeight="false" outlineLevel="0" collapsed="false">
      <c r="A161" s="2" t="str">
        <f aca="false">'Dirty Data'!A160</f>
        <v>D0034</v>
      </c>
      <c r="B161" s="2" t="str">
        <f aca="false">TRIM(PROPER('Dirty Data'!B160))</f>
        <v>Eastfield</v>
      </c>
      <c r="C161" s="2" t="str">
        <f aca="false">_xlfn.IFS(OR('Dirty Data'!C160="M",'Dirty Data'!C160="m",'Dirty Data'!C160="Male",'Dirty Data'!C160="male"),"Male",OR('Dirty Data'!C160="F",'Dirty Data'!C160="f",'Dirty Data'!C160="Female",'Dirty Data'!C160="female",'Dirty Data'!C160="Femle"),"Female",TRUE(),"Unrecognized")</f>
        <v>Female</v>
      </c>
      <c r="D161" s="2" t="n">
        <f aca="false">'Dirty Data'!D160</f>
        <v>74</v>
      </c>
      <c r="E161" s="2" t="str">
        <f aca="false">_xlfn.IFS(D161="","Missing",D161&lt;0,"Invalid",D161&gt;120,"Invalid",TRUE(),"Valid")</f>
        <v>Valid</v>
      </c>
      <c r="F161" s="2" t="str">
        <f aca="false">IF(COUNTIFS('Dirty Data'!$B$2:$B$166,'Dirty Data'!B160,'Dirty Data'!$C$2:$C$166,'Dirty Data'!C160,'Dirty Data'!$D$2:$D$166,'Dirty Data'!D160)&gt;1,"Possible Duplicate","Unique")</f>
        <v>Unique</v>
      </c>
    </row>
    <row r="162" customFormat="false" ht="15" hidden="false" customHeight="false" outlineLevel="0" collapsed="false">
      <c r="A162" s="2" t="str">
        <f aca="false">'Dirty Data'!A161</f>
        <v>D0029</v>
      </c>
      <c r="B162" s="2" t="str">
        <f aca="false">TRIM(PROPER('Dirty Data'!B161))</f>
        <v>Highland</v>
      </c>
      <c r="C162" s="2" t="str">
        <f aca="false">_xlfn.IFS(OR('Dirty Data'!C161="M",'Dirty Data'!C161="m",'Dirty Data'!C161="Male",'Dirty Data'!C161="male"),"Male",OR('Dirty Data'!C161="F",'Dirty Data'!C161="f",'Dirty Data'!C161="Female",'Dirty Data'!C161="female",'Dirty Data'!C161="Femle"),"Female",TRUE(),"Unrecognized")</f>
        <v>Male</v>
      </c>
      <c r="D162" s="2" t="n">
        <f aca="false">'Dirty Data'!D161</f>
        <v>43</v>
      </c>
      <c r="E162" s="2" t="str">
        <f aca="false">_xlfn.IFS(D162="","Missing",D162&lt;0,"Invalid",D162&gt;120,"Invalid",TRUE(),"Valid")</f>
        <v>Valid</v>
      </c>
      <c r="F162" s="2" t="str">
        <f aca="false">IF(COUNTIFS('Dirty Data'!$B$2:$B$166,'Dirty Data'!B161,'Dirty Data'!$C$2:$C$166,'Dirty Data'!C161,'Dirty Data'!$D$2:$D$166,'Dirty Data'!D161)&gt;1,"Possible Duplicate","Unique")</f>
        <v>Possible Duplicate</v>
      </c>
    </row>
    <row r="163" customFormat="false" ht="15" hidden="false" customHeight="false" outlineLevel="0" collapsed="false">
      <c r="A163" s="2" t="str">
        <f aca="false">'Dirty Data'!A162</f>
        <v>D0047</v>
      </c>
      <c r="B163" s="2" t="str">
        <f aca="false">TRIM(PROPER('Dirty Data'!B162))</f>
        <v>Highland</v>
      </c>
      <c r="C163" s="2" t="str">
        <f aca="false">_xlfn.IFS(OR('Dirty Data'!C162="M",'Dirty Data'!C162="m",'Dirty Data'!C162="Male",'Dirty Data'!C162="male"),"Male",OR('Dirty Data'!C162="F",'Dirty Data'!C162="f",'Dirty Data'!C162="Female",'Dirty Data'!C162="female",'Dirty Data'!C162="Femle"),"Female",TRUE(),"Unrecognized")</f>
        <v>Female</v>
      </c>
      <c r="D163" s="2" t="n">
        <f aca="false">'Dirty Data'!D162</f>
        <v>70</v>
      </c>
      <c r="E163" s="2" t="str">
        <f aca="false">_xlfn.IFS(D163="","Missing",D163&lt;0,"Invalid",D163&gt;120,"Invalid",TRUE(),"Valid")</f>
        <v>Valid</v>
      </c>
      <c r="F163" s="2" t="str">
        <f aca="false">IF(COUNTIFS('Dirty Data'!$B$2:$B$166,'Dirty Data'!B162,'Dirty Data'!$C$2:$C$166,'Dirty Data'!C162,'Dirty Data'!$D$2:$D$166,'Dirty Data'!D162)&gt;1,"Possible Duplicate","Unique")</f>
        <v>Unique</v>
      </c>
    </row>
    <row r="164" customFormat="false" ht="15" hidden="false" customHeight="false" outlineLevel="0" collapsed="false">
      <c r="A164" s="2" t="str">
        <f aca="false">'Dirty Data'!A163</f>
        <v>D0011</v>
      </c>
      <c r="B164" s="2" t="str">
        <f aca="false">TRIM(PROPER('Dirty Data'!B163))</f>
        <v>Eastfield</v>
      </c>
      <c r="C164" s="2" t="str">
        <f aca="false">_xlfn.IFS(OR('Dirty Data'!C163="M",'Dirty Data'!C163="m",'Dirty Data'!C163="Male",'Dirty Data'!C163="male"),"Male",OR('Dirty Data'!C163="F",'Dirty Data'!C163="f",'Dirty Data'!C163="Female",'Dirty Data'!C163="female",'Dirty Data'!C163="Femle"),"Female",TRUE(),"Unrecognized")</f>
        <v>Female</v>
      </c>
      <c r="D164" s="2" t="n">
        <f aca="false">'Dirty Data'!D163</f>
        <v>6</v>
      </c>
      <c r="E164" s="2" t="str">
        <f aca="false">_xlfn.IFS(D164="","Missing",D164&lt;0,"Invalid",D164&gt;120,"Invalid",TRUE(),"Valid")</f>
        <v>Valid</v>
      </c>
      <c r="F164" s="2" t="str">
        <f aca="false">IF(COUNTIFS('Dirty Data'!$B$2:$B$166,'Dirty Data'!B163,'Dirty Data'!$C$2:$C$166,'Dirty Data'!C163,'Dirty Data'!$D$2:$D$166,'Dirty Data'!D163)&gt;1,"Possible Duplicate","Unique")</f>
        <v>Unique</v>
      </c>
    </row>
    <row r="165" customFormat="false" ht="15" hidden="false" customHeight="false" outlineLevel="0" collapsed="false">
      <c r="A165" s="2" t="str">
        <f aca="false">'Dirty Data'!A164</f>
        <v>D0070</v>
      </c>
      <c r="B165" s="2" t="str">
        <f aca="false">TRIM(PROPER('Dirty Data'!B164))</f>
        <v>Central</v>
      </c>
      <c r="C165" s="2" t="str">
        <f aca="false">_xlfn.IFS(OR('Dirty Data'!C164="M",'Dirty Data'!C164="m",'Dirty Data'!C164="Male",'Dirty Data'!C164="male"),"Male",OR('Dirty Data'!C164="F",'Dirty Data'!C164="f",'Dirty Data'!C164="Female",'Dirty Data'!C164="female",'Dirty Data'!C164="Femle"),"Female",TRUE(),"Unrecognized")</f>
        <v>Male</v>
      </c>
      <c r="D165" s="2" t="n">
        <f aca="false">'Dirty Data'!D164</f>
        <v>26</v>
      </c>
      <c r="E165" s="2" t="str">
        <f aca="false">_xlfn.IFS(D165="","Missing",D165&lt;0,"Invalid",D165&gt;120,"Invalid",TRUE(),"Valid")</f>
        <v>Valid</v>
      </c>
      <c r="F165" s="2" t="str">
        <f aca="false">IF(COUNTIFS('Dirty Data'!$B$2:$B$166,'Dirty Data'!B164,'Dirty Data'!$C$2:$C$166,'Dirty Data'!C164,'Dirty Data'!$D$2:$D$166,'Dirty Data'!D164)&gt;1,"Possible Duplicate","Unique")</f>
        <v>Unique</v>
      </c>
    </row>
    <row r="166" customFormat="false" ht="15" hidden="false" customHeight="false" outlineLevel="0" collapsed="false">
      <c r="A166" s="2" t="str">
        <f aca="false">'Dirty Data'!A165</f>
        <v>D0068</v>
      </c>
      <c r="B166" s="2" t="str">
        <f aca="false">TRIM(PROPER('Dirty Data'!B165))</f>
        <v>Eastfield</v>
      </c>
      <c r="C166" s="2" t="str">
        <f aca="false">_xlfn.IFS(OR('Dirty Data'!C165="M",'Dirty Data'!C165="m",'Dirty Data'!C165="Male",'Dirty Data'!C165="male"),"Male",OR('Dirty Data'!C165="F",'Dirty Data'!C165="f",'Dirty Data'!C165="Female",'Dirty Data'!C165="female",'Dirty Data'!C165="Femle"),"Female",TRUE(),"Unrecognized")</f>
        <v>Male</v>
      </c>
      <c r="D166" s="2" t="n">
        <f aca="false">'Dirty Data'!D165</f>
        <v>68</v>
      </c>
      <c r="E166" s="2" t="str">
        <f aca="false">_xlfn.IFS(D166="","Missing",D166&lt;0,"Invalid",D166&gt;120,"Invalid",TRUE(),"Valid")</f>
        <v>Valid</v>
      </c>
      <c r="F166" s="2" t="str">
        <f aca="false">IF(COUNTIFS('Dirty Data'!$B$2:$B$166,'Dirty Data'!B165,'Dirty Data'!$C$2:$C$166,'Dirty Data'!C165,'Dirty Data'!$D$2:$D$166,'Dirty Data'!D165)&gt;1,"Possible Duplicate","Unique")</f>
        <v>Unique</v>
      </c>
    </row>
    <row r="167" customFormat="false" ht="15" hidden="false" customHeight="false" outlineLevel="0" collapsed="false">
      <c r="A167" s="2" t="str">
        <f aca="false">'Dirty Data'!A166</f>
        <v>D0022</v>
      </c>
      <c r="B167" s="2" t="str">
        <f aca="false">TRIM(PROPER('Dirty Data'!B166))</f>
        <v>Highland</v>
      </c>
      <c r="C167" s="2" t="str">
        <f aca="false">_xlfn.IFS(OR('Dirty Data'!C166="M",'Dirty Data'!C166="m",'Dirty Data'!C166="Male",'Dirty Data'!C166="male"),"Male",OR('Dirty Data'!C166="F",'Dirty Data'!C166="f",'Dirty Data'!C166="Female",'Dirty Data'!C166="female",'Dirty Data'!C166="Femle"),"Female",TRUE(),"Unrecognized")</f>
        <v>Female</v>
      </c>
      <c r="D167" s="2" t="n">
        <f aca="false">'Dirty Data'!D166</f>
        <v>58</v>
      </c>
      <c r="E167" s="2" t="str">
        <f aca="false">_xlfn.IFS(D167="","Missing",D167&lt;0,"Invalid",D167&gt;120,"Invalid",TRUE(),"Valid")</f>
        <v>Valid</v>
      </c>
      <c r="F167" s="2" t="str">
        <f aca="false">IF(COUNTIFS('Dirty Data'!$B$2:$B$166,'Dirty Data'!B166,'Dirty Data'!$C$2:$C$166,'Dirty Data'!C166,'Dirty Data'!$D$2:$D$166,'Dirty Data'!D166)&gt;1,"Possible Duplicate","Unique")</f>
        <v>Unique</v>
      </c>
    </row>
    <row r="169" customFormat="false" ht="15" hidden="false" customHeight="false" outlineLevel="0" collapsed="false">
      <c r="A169" s="5" t="s">
        <v>167</v>
      </c>
    </row>
    <row r="170" customFormat="false" ht="15" hidden="false" customHeight="false" outlineLevel="0" collapsed="false">
      <c r="A170" s="6" t="s">
        <v>168</v>
      </c>
      <c r="B170" s="0" t="n">
        <f aca="false">COUNTIF(E4:E167,"Missing")</f>
        <v>14</v>
      </c>
    </row>
    <row r="171" customFormat="false" ht="15" hidden="false" customHeight="false" outlineLevel="0" collapsed="false">
      <c r="A171" s="6" t="s">
        <v>169</v>
      </c>
      <c r="B171" s="0" t="n">
        <f aca="false">COUNTIF(E4:E167,"Invalid")</f>
        <v>3</v>
      </c>
    </row>
    <row r="172" customFormat="false" ht="15" hidden="false" customHeight="false" outlineLevel="0" collapsed="false">
      <c r="A172" s="6" t="s">
        <v>170</v>
      </c>
      <c r="B172" s="0" t="n">
        <f aca="false">COUNTIF(F4:F167,"Possible Duplicate")</f>
        <v>38</v>
      </c>
    </row>
    <row r="173" customFormat="false" ht="15" hidden="false" customHeight="false" outlineLevel="0" collapsed="false">
      <c r="A173" s="6" t="s">
        <v>171</v>
      </c>
      <c r="B173" s="0" t="n">
        <f aca="false">COUNTIF(C4:C167,"Unrecognized")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7" t="s">
        <v>172</v>
      </c>
    </row>
    <row r="3" customFormat="false" ht="15" hidden="false" customHeight="false" outlineLevel="0" collapsed="false">
      <c r="A3" s="2" t="s">
        <v>173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174</v>
      </c>
    </row>
    <row r="6" customFormat="false" ht="15" hidden="false" customHeight="false" outlineLevel="0" collapsed="false">
      <c r="A6" s="2" t="s">
        <v>175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176</v>
      </c>
    </row>
    <row r="9" customFormat="false" ht="15" hidden="false" customHeight="false" outlineLevel="0" collapsed="false">
      <c r="A9" s="2" t="s">
        <v>177</v>
      </c>
    </row>
    <row r="10" customFormat="false" ht="15" hidden="false" customHeight="false" outlineLevel="0" collapsed="false">
      <c r="A10" s="2" t="s">
        <v>178</v>
      </c>
    </row>
    <row r="11" customFormat="false" ht="15" hidden="false" customHeight="false" outlineLevel="0" collapsed="false">
      <c r="A11" s="2" t="s">
        <v>179</v>
      </c>
    </row>
    <row r="12" customFormat="false" ht="15" hidden="false" customHeight="false" outlineLevel="0" collapsed="false">
      <c r="A12" s="2" t="s">
        <v>180</v>
      </c>
    </row>
    <row r="13" customFormat="false" ht="15" hidden="false" customHeight="false" outlineLevel="0" collapsed="false">
      <c r="A13" s="2" t="s">
        <v>181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2026-09-18T01:59:14Z</dcterms:created>
  <dc:creator>openpyxl</dc:creator>
  <dc:description/>
  <dc:language>en-US</dc:language>
  <cp:lastModifiedBy/>
  <dcterms:modified xsi:type="dcterms:W3CDTF">2026-09-18T01:59:14Z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